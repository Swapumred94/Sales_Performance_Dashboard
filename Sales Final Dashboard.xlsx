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Shane Ali\Desktop\"/>
    </mc:Choice>
  </mc:AlternateContent>
  <xr:revisionPtr revIDLastSave="0" documentId="13_ncr:1_{1F47CDFF-DA11-42EF-8D7E-5A20448E8B6E}" xr6:coauthVersionLast="47" xr6:coauthVersionMax="47" xr10:uidLastSave="{00000000-0000-0000-0000-000000000000}"/>
  <bookViews>
    <workbookView xWindow="-108" yWindow="-108" windowWidth="23256" windowHeight="12576" activeTab="1" xr2:uid="{ED5937DA-FEF1-4286-BDBD-43A202EE7054}"/>
  </bookViews>
  <sheets>
    <sheet name="Data" sheetId="1" r:id="rId1"/>
    <sheet name="Sheet1" sheetId="7" r:id="rId2"/>
    <sheet name="Pivot Table" sheetId="2" r:id="rId3"/>
    <sheet name="Products" sheetId="3" r:id="rId4"/>
    <sheet name="Salesmans" sheetId="4" r:id="rId5"/>
    <sheet name="Region" sheetId="5" r:id="rId6"/>
    <sheet name=" About" sheetId="6" r:id="rId7"/>
  </sheets>
  <definedNames>
    <definedName name="_xlnm._FilterDatabase" localSheetId="0" hidden="1">Data!$A$1:$I$1001</definedName>
    <definedName name="_xlnm._FilterDatabase" localSheetId="1" hidden="1">Sheet1!$D$3:$E$36</definedName>
    <definedName name="Slicer_Product">#N/A</definedName>
    <definedName name="Slicer_Region">#N/A</definedName>
    <definedName name="Slicer_Years__Date">#N/A</definedName>
  </definedNames>
  <calcPr calcId="18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5" i="2" l="1"/>
  <c r="M4" i="2"/>
  <c r="I1001" i="1"/>
  <c r="I1000" i="1"/>
  <c r="I999" i="1"/>
  <c r="I998" i="1"/>
  <c r="I997" i="1"/>
  <c r="I996" i="1"/>
  <c r="I995" i="1"/>
  <c r="I994" i="1"/>
  <c r="I993" i="1"/>
  <c r="I992" i="1"/>
  <c r="I991" i="1"/>
  <c r="I990" i="1"/>
  <c r="I989" i="1"/>
  <c r="I988" i="1"/>
  <c r="I987" i="1"/>
  <c r="I986" i="1"/>
  <c r="I985" i="1"/>
  <c r="I984" i="1"/>
  <c r="I983" i="1"/>
  <c r="I982" i="1"/>
  <c r="I981" i="1"/>
  <c r="I980" i="1"/>
  <c r="I979" i="1"/>
  <c r="I978" i="1"/>
  <c r="I977" i="1"/>
  <c r="I976" i="1"/>
  <c r="I975" i="1"/>
  <c r="I974" i="1"/>
  <c r="I973" i="1"/>
  <c r="I972" i="1"/>
  <c r="I971" i="1"/>
  <c r="I970" i="1"/>
  <c r="I969" i="1"/>
  <c r="I968" i="1"/>
  <c r="I967" i="1"/>
  <c r="I966" i="1"/>
  <c r="I965" i="1"/>
  <c r="I964" i="1"/>
  <c r="I963" i="1"/>
  <c r="I962" i="1"/>
  <c r="I961" i="1"/>
  <c r="I960" i="1"/>
  <c r="I959" i="1"/>
  <c r="I958" i="1"/>
  <c r="I957" i="1"/>
  <c r="I956" i="1"/>
  <c r="I955" i="1"/>
  <c r="I954" i="1"/>
  <c r="I953" i="1"/>
  <c r="I952" i="1"/>
  <c r="I951" i="1"/>
  <c r="I950" i="1"/>
  <c r="I949" i="1"/>
  <c r="I948" i="1"/>
  <c r="I947" i="1"/>
  <c r="I946" i="1"/>
  <c r="I945" i="1"/>
  <c r="I944" i="1"/>
  <c r="I943" i="1"/>
  <c r="I942" i="1"/>
  <c r="I941" i="1"/>
  <c r="I940" i="1"/>
  <c r="I939" i="1"/>
  <c r="I938" i="1"/>
  <c r="I937" i="1"/>
  <c r="I936" i="1"/>
  <c r="I935" i="1"/>
  <c r="I934" i="1"/>
  <c r="I933" i="1"/>
  <c r="I932" i="1"/>
  <c r="I931" i="1"/>
  <c r="I930" i="1"/>
  <c r="I929" i="1"/>
  <c r="I928" i="1"/>
  <c r="I927" i="1"/>
  <c r="I926" i="1"/>
  <c r="I925" i="1"/>
  <c r="I924" i="1"/>
  <c r="I923" i="1"/>
  <c r="I922" i="1"/>
  <c r="I921" i="1"/>
  <c r="I920" i="1"/>
  <c r="I919" i="1"/>
  <c r="I918" i="1"/>
  <c r="I917" i="1"/>
  <c r="I916" i="1"/>
  <c r="I915" i="1"/>
  <c r="I914" i="1"/>
  <c r="I913" i="1"/>
  <c r="I912" i="1"/>
  <c r="I911" i="1"/>
  <c r="I910" i="1"/>
  <c r="I909" i="1"/>
  <c r="I908" i="1"/>
  <c r="I907" i="1"/>
  <c r="I906" i="1"/>
  <c r="I905" i="1"/>
  <c r="I904" i="1"/>
  <c r="I903" i="1"/>
  <c r="I902" i="1"/>
  <c r="I901" i="1"/>
  <c r="I900" i="1"/>
  <c r="I899" i="1"/>
  <c r="I898" i="1"/>
  <c r="I897" i="1"/>
  <c r="I896" i="1"/>
  <c r="I895" i="1"/>
  <c r="I894" i="1"/>
  <c r="I893" i="1"/>
  <c r="I892" i="1"/>
  <c r="I891" i="1"/>
  <c r="I890" i="1"/>
  <c r="I889" i="1"/>
  <c r="I888" i="1"/>
  <c r="I887" i="1"/>
  <c r="I886" i="1"/>
  <c r="I885" i="1"/>
  <c r="I884" i="1"/>
  <c r="I883" i="1"/>
  <c r="I882" i="1"/>
  <c r="I881" i="1"/>
  <c r="I880" i="1"/>
  <c r="I879" i="1"/>
  <c r="I878" i="1"/>
  <c r="I877" i="1"/>
  <c r="I876" i="1"/>
  <c r="I875" i="1"/>
  <c r="I874" i="1"/>
  <c r="I873" i="1"/>
  <c r="I872" i="1"/>
  <c r="I871" i="1"/>
  <c r="I870" i="1"/>
  <c r="I869" i="1"/>
  <c r="I868" i="1"/>
  <c r="I867" i="1"/>
  <c r="I866" i="1"/>
  <c r="I865" i="1"/>
  <c r="I864" i="1"/>
  <c r="I863" i="1"/>
  <c r="I862" i="1"/>
  <c r="I861" i="1"/>
  <c r="I860" i="1"/>
  <c r="I859" i="1"/>
  <c r="I858" i="1"/>
  <c r="I857" i="1"/>
  <c r="I856" i="1"/>
  <c r="I855" i="1"/>
  <c r="I854" i="1"/>
  <c r="I853" i="1"/>
  <c r="I852" i="1"/>
  <c r="I851" i="1"/>
  <c r="I850" i="1"/>
  <c r="I849" i="1"/>
  <c r="I848" i="1"/>
  <c r="I847" i="1"/>
  <c r="I846" i="1"/>
  <c r="I845" i="1"/>
  <c r="I844" i="1"/>
  <c r="I843" i="1"/>
  <c r="I842" i="1"/>
  <c r="I841" i="1"/>
  <c r="I840" i="1"/>
  <c r="I839" i="1"/>
  <c r="I838" i="1"/>
  <c r="I837" i="1"/>
  <c r="I836" i="1"/>
  <c r="I835" i="1"/>
  <c r="I834" i="1"/>
  <c r="I833" i="1"/>
  <c r="I832" i="1"/>
  <c r="I831" i="1"/>
  <c r="I830" i="1"/>
  <c r="I829" i="1"/>
  <c r="I828" i="1"/>
  <c r="I827" i="1"/>
  <c r="I826" i="1"/>
  <c r="I825" i="1"/>
  <c r="I824" i="1"/>
  <c r="I823" i="1"/>
  <c r="I822" i="1"/>
  <c r="I821" i="1"/>
  <c r="I820" i="1"/>
  <c r="I819" i="1"/>
  <c r="I818" i="1"/>
  <c r="I817" i="1"/>
  <c r="I816" i="1"/>
  <c r="I815" i="1"/>
  <c r="I814" i="1"/>
  <c r="I813" i="1"/>
  <c r="I812" i="1"/>
  <c r="I811" i="1"/>
  <c r="I810" i="1"/>
  <c r="I809" i="1"/>
  <c r="I808" i="1"/>
  <c r="I807" i="1"/>
  <c r="I806" i="1"/>
  <c r="I805" i="1"/>
  <c r="I804" i="1"/>
  <c r="I803" i="1"/>
  <c r="I802" i="1"/>
  <c r="I801" i="1"/>
  <c r="I800" i="1"/>
  <c r="I799"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732" i="1"/>
  <c r="I731" i="1"/>
  <c r="I730" i="1"/>
  <c r="I729" i="1"/>
  <c r="I728" i="1"/>
  <c r="I727" i="1"/>
  <c r="I726" i="1"/>
  <c r="I725" i="1"/>
  <c r="I724" i="1"/>
  <c r="I723" i="1"/>
  <c r="I722" i="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 r="H15" i="2"/>
  <c r="H14" i="2"/>
  <c r="H13" i="2"/>
</calcChain>
</file>

<file path=xl/sharedStrings.xml><?xml version="1.0" encoding="utf-8"?>
<sst xmlns="http://schemas.openxmlformats.org/spreadsheetml/2006/main" count="4259" uniqueCount="1072">
  <si>
    <t>ODR_AB_01</t>
  </si>
  <si>
    <t>East</t>
  </si>
  <si>
    <t>Laptop</t>
  </si>
  <si>
    <t>Riya</t>
  </si>
  <si>
    <t>ODR_BC_02</t>
  </si>
  <si>
    <t>West</t>
  </si>
  <si>
    <t>ODR_CD_03</t>
  </si>
  <si>
    <t>North</t>
  </si>
  <si>
    <t>ODR_BC_03</t>
  </si>
  <si>
    <t>Printer</t>
  </si>
  <si>
    <t>ODR_CD_04</t>
  </si>
  <si>
    <t>Monitor</t>
  </si>
  <si>
    <t>Amit</t>
  </si>
  <si>
    <t>ODR_BC_04</t>
  </si>
  <si>
    <t>ODR_CD_05</t>
  </si>
  <si>
    <t>Sneha</t>
  </si>
  <si>
    <t>ODR_BC_05</t>
  </si>
  <si>
    <t>ODR_CD_06</t>
  </si>
  <si>
    <t>ODR_BC_06</t>
  </si>
  <si>
    <t>South</t>
  </si>
  <si>
    <t>Mobile</t>
  </si>
  <si>
    <t>Rahul</t>
  </si>
  <si>
    <t>ODR_CD_07</t>
  </si>
  <si>
    <t>ODR_BC_07</t>
  </si>
  <si>
    <t>Tablet</t>
  </si>
  <si>
    <t>ODR_CD_08</t>
  </si>
  <si>
    <t>ODR_BC_08</t>
  </si>
  <si>
    <t>ODR_CD_09</t>
  </si>
  <si>
    <t>ODR_BC_09</t>
  </si>
  <si>
    <t>ODR_CD_10</t>
  </si>
  <si>
    <t>ODR_BC_10</t>
  </si>
  <si>
    <t>ODR_CD_11</t>
  </si>
  <si>
    <t>ODR_BC_11</t>
  </si>
  <si>
    <t>ODR_CD_12</t>
  </si>
  <si>
    <t>ODR_BC_12</t>
  </si>
  <si>
    <t>ODR_CD_13</t>
  </si>
  <si>
    <t>ODR_BC_13</t>
  </si>
  <si>
    <t>ODR_CD_14</t>
  </si>
  <si>
    <t>ODR_BC_14</t>
  </si>
  <si>
    <t>ODR_CD_15</t>
  </si>
  <si>
    <t>ODR_BC_15</t>
  </si>
  <si>
    <t>ODR_CD_16</t>
  </si>
  <si>
    <t>ODR_BC_16</t>
  </si>
  <si>
    <t>ODR_CD_17</t>
  </si>
  <si>
    <t>ODR_BC_17</t>
  </si>
  <si>
    <t>ODR_CD_18</t>
  </si>
  <si>
    <t>ODR_BC_18</t>
  </si>
  <si>
    <t>ODR_CD_19</t>
  </si>
  <si>
    <t>ODR_BC_19</t>
  </si>
  <si>
    <t>ODR_CD_20</t>
  </si>
  <si>
    <t>ODR_BC_20</t>
  </si>
  <si>
    <t>ODR_CD_21</t>
  </si>
  <si>
    <t>ODR_BC_21</t>
  </si>
  <si>
    <t>ODR_CD_22</t>
  </si>
  <si>
    <t>ODR_BC_22</t>
  </si>
  <si>
    <t>ODR_CD_23</t>
  </si>
  <si>
    <t>ODR_BC_23</t>
  </si>
  <si>
    <t>ODR_CD_24</t>
  </si>
  <si>
    <t>ODR_BC_24</t>
  </si>
  <si>
    <t>ODR_CD_25</t>
  </si>
  <si>
    <t>ODR_BC_25</t>
  </si>
  <si>
    <t>ODR_CD_26</t>
  </si>
  <si>
    <t>ODR_BC_26</t>
  </si>
  <si>
    <t>ODR_CD_27</t>
  </si>
  <si>
    <t>ODR_BC_27</t>
  </si>
  <si>
    <t>ODR_CD_28</t>
  </si>
  <si>
    <t>ODR_BC_28</t>
  </si>
  <si>
    <t>ODR_CD_29</t>
  </si>
  <si>
    <t>ODR_BC_29</t>
  </si>
  <si>
    <t>ODR_CD_30</t>
  </si>
  <si>
    <t>ODR_BC_30</t>
  </si>
  <si>
    <t>ODR_CD_31</t>
  </si>
  <si>
    <t>ODR_BC_31</t>
  </si>
  <si>
    <t>ODR_CD_32</t>
  </si>
  <si>
    <t>ODR_BC_32</t>
  </si>
  <si>
    <t>ODR_CD_33</t>
  </si>
  <si>
    <t>ODR_BC_33</t>
  </si>
  <si>
    <t>ODR_CD_34</t>
  </si>
  <si>
    <t>ODR_BC_34</t>
  </si>
  <si>
    <t>ODR_CD_35</t>
  </si>
  <si>
    <t>ODR_BC_35</t>
  </si>
  <si>
    <t>ODR_CD_36</t>
  </si>
  <si>
    <t>ODR_BC_36</t>
  </si>
  <si>
    <t>ODR_CD_37</t>
  </si>
  <si>
    <t>ODR_BC_37</t>
  </si>
  <si>
    <t>ODR_CD_38</t>
  </si>
  <si>
    <t>ODR_BC_38</t>
  </si>
  <si>
    <t>ODR_CD_39</t>
  </si>
  <si>
    <t>ODR_BC_39</t>
  </si>
  <si>
    <t>ODR_CD_40</t>
  </si>
  <si>
    <t>ODR_BC_40</t>
  </si>
  <si>
    <t>ODR_CD_41</t>
  </si>
  <si>
    <t>ODR_BC_41</t>
  </si>
  <si>
    <t>ODR_CD_42</t>
  </si>
  <si>
    <t>ODR_BC_42</t>
  </si>
  <si>
    <t>ODR_CD_43</t>
  </si>
  <si>
    <t>ODR_BC_43</t>
  </si>
  <si>
    <t>ODR_CD_44</t>
  </si>
  <si>
    <t>ODR_BC_44</t>
  </si>
  <si>
    <t>ODR_CD_45</t>
  </si>
  <si>
    <t>ODR_BC_45</t>
  </si>
  <si>
    <t>ODR_CD_46</t>
  </si>
  <si>
    <t>ODR_BC_46</t>
  </si>
  <si>
    <t>ODR_CD_47</t>
  </si>
  <si>
    <t>ODR_BC_47</t>
  </si>
  <si>
    <t>ODR_CD_48</t>
  </si>
  <si>
    <t>ODR_BC_48</t>
  </si>
  <si>
    <t>ODR_CD_49</t>
  </si>
  <si>
    <t>ODR_BC_49</t>
  </si>
  <si>
    <t>ODR_CD_50</t>
  </si>
  <si>
    <t>ODR_BC_50</t>
  </si>
  <si>
    <t>ODR_CD_51</t>
  </si>
  <si>
    <t>ODR_BC_51</t>
  </si>
  <si>
    <t>ODR_CD_52</t>
  </si>
  <si>
    <t>ODR_BC_52</t>
  </si>
  <si>
    <t>ODR_CD_53</t>
  </si>
  <si>
    <t>ODR_BC_53</t>
  </si>
  <si>
    <t>ODR_CD_54</t>
  </si>
  <si>
    <t>ODR_BC_54</t>
  </si>
  <si>
    <t>ODR_CD_55</t>
  </si>
  <si>
    <t>ODR_BC_55</t>
  </si>
  <si>
    <t>ODR_CD_56</t>
  </si>
  <si>
    <t>ODR_BC_56</t>
  </si>
  <si>
    <t>ODR_CD_57</t>
  </si>
  <si>
    <t>ODR_BC_57</t>
  </si>
  <si>
    <t>ODR_CD_58</t>
  </si>
  <si>
    <t>ODR_BC_58</t>
  </si>
  <si>
    <t>ODR_CD_59</t>
  </si>
  <si>
    <t>ODR_BC_59</t>
  </si>
  <si>
    <t>ODR_CD_60</t>
  </si>
  <si>
    <t>ODR_BC_60</t>
  </si>
  <si>
    <t>ODR_CD_61</t>
  </si>
  <si>
    <t>ODR_BC_61</t>
  </si>
  <si>
    <t>ODR_CD_62</t>
  </si>
  <si>
    <t>ODR_BC_62</t>
  </si>
  <si>
    <t>ODR_CD_63</t>
  </si>
  <si>
    <t>ODR_BC_63</t>
  </si>
  <si>
    <t>ODR_CD_64</t>
  </si>
  <si>
    <t>ODR_BC_64</t>
  </si>
  <si>
    <t>ODR_CD_65</t>
  </si>
  <si>
    <t>ODR_BC_65</t>
  </si>
  <si>
    <t>ODR_CD_66</t>
  </si>
  <si>
    <t>ODR_BC_66</t>
  </si>
  <si>
    <t>ODR_CD_67</t>
  </si>
  <si>
    <t>ODR_BC_67</t>
  </si>
  <si>
    <t>ODR_CD_68</t>
  </si>
  <si>
    <t>ODR_BC_68</t>
  </si>
  <si>
    <t>ODR_CD_69</t>
  </si>
  <si>
    <t>ODR_BC_69</t>
  </si>
  <si>
    <t>ODR_CD_70</t>
  </si>
  <si>
    <t>ODR_BC_70</t>
  </si>
  <si>
    <t>ODR_CD_71</t>
  </si>
  <si>
    <t>ODR_BC_71</t>
  </si>
  <si>
    <t>ODR_CD_72</t>
  </si>
  <si>
    <t>ODR_BC_72</t>
  </si>
  <si>
    <t>ODR_CD_73</t>
  </si>
  <si>
    <t>ODR_BC_73</t>
  </si>
  <si>
    <t>ODR_CD_74</t>
  </si>
  <si>
    <t>ODR_BC_74</t>
  </si>
  <si>
    <t>ODR_CD_75</t>
  </si>
  <si>
    <t>ODR_BC_75</t>
  </si>
  <si>
    <t>ODR_CD_76</t>
  </si>
  <si>
    <t>ODR_BC_76</t>
  </si>
  <si>
    <t>ODR_CD_77</t>
  </si>
  <si>
    <t>ODR_BC_77</t>
  </si>
  <si>
    <t>ODR_CD_78</t>
  </si>
  <si>
    <t>ODR_BC_78</t>
  </si>
  <si>
    <t>ODR_CD_79</t>
  </si>
  <si>
    <t>ODR_BC_79</t>
  </si>
  <si>
    <t>ODR_CD_80</t>
  </si>
  <si>
    <t>ODR_BC_80</t>
  </si>
  <si>
    <t>ODR_CD_81</t>
  </si>
  <si>
    <t>ODR_BC_81</t>
  </si>
  <si>
    <t>ODR_CD_82</t>
  </si>
  <si>
    <t>ODR_BC_82</t>
  </si>
  <si>
    <t>ODR_CD_83</t>
  </si>
  <si>
    <t>ODR_BC_83</t>
  </si>
  <si>
    <t>ODR_CD_84</t>
  </si>
  <si>
    <t>ODR_BC_84</t>
  </si>
  <si>
    <t>ODR_CD_85</t>
  </si>
  <si>
    <t>ODR_BC_85</t>
  </si>
  <si>
    <t>ODR_CD_86</t>
  </si>
  <si>
    <t>ODR_BC_86</t>
  </si>
  <si>
    <t>ODR_CD_87</t>
  </si>
  <si>
    <t>ODR_BC_87</t>
  </si>
  <si>
    <t>ODR_CD_88</t>
  </si>
  <si>
    <t>ODR_BC_88</t>
  </si>
  <si>
    <t>ODR_CD_89</t>
  </si>
  <si>
    <t>ODR_BC_89</t>
  </si>
  <si>
    <t>ODR_CD_90</t>
  </si>
  <si>
    <t>ODR_BC_90</t>
  </si>
  <si>
    <t>ODR_CD_91</t>
  </si>
  <si>
    <t>ODR_BC_91</t>
  </si>
  <si>
    <t>ODR_CD_92</t>
  </si>
  <si>
    <t>ODR_BC_92</t>
  </si>
  <si>
    <t>ODR_CD_93</t>
  </si>
  <si>
    <t>ODR_BC_93</t>
  </si>
  <si>
    <t>ODR_CD_94</t>
  </si>
  <si>
    <t>ODR_BC_94</t>
  </si>
  <si>
    <t>ODR_CD_95</t>
  </si>
  <si>
    <t>ODR_BC_95</t>
  </si>
  <si>
    <t>ODR_CD_96</t>
  </si>
  <si>
    <t>ODR_BC_96</t>
  </si>
  <si>
    <t>ODR_CD_97</t>
  </si>
  <si>
    <t>ODR_BC_97</t>
  </si>
  <si>
    <t>ODR_CD_98</t>
  </si>
  <si>
    <t>ODR_BC_98</t>
  </si>
  <si>
    <t>ODR_CD_99</t>
  </si>
  <si>
    <t>ODR_BC_99</t>
  </si>
  <si>
    <t>ODR_CD_100</t>
  </si>
  <si>
    <t>ODR_BC_100</t>
  </si>
  <si>
    <t>ODR_CD_101</t>
  </si>
  <si>
    <t>ODR_BC_101</t>
  </si>
  <si>
    <t>ODR_CD_102</t>
  </si>
  <si>
    <t>ODR_BC_102</t>
  </si>
  <si>
    <t>ODR_CD_103</t>
  </si>
  <si>
    <t>ODR_BC_103</t>
  </si>
  <si>
    <t>ODR_CD_104</t>
  </si>
  <si>
    <t>ODR_BC_104</t>
  </si>
  <si>
    <t>ODR_CD_105</t>
  </si>
  <si>
    <t>ODR_BC_105</t>
  </si>
  <si>
    <t>ODR_CD_106</t>
  </si>
  <si>
    <t>ODR_BC_106</t>
  </si>
  <si>
    <t>ODR_CD_107</t>
  </si>
  <si>
    <t>ODR_BC_107</t>
  </si>
  <si>
    <t>ODR_CD_108</t>
  </si>
  <si>
    <t>ODR_BC_108</t>
  </si>
  <si>
    <t>ODR_CD_109</t>
  </si>
  <si>
    <t>ODR_BC_109</t>
  </si>
  <si>
    <t>ODR_CD_110</t>
  </si>
  <si>
    <t>ODR_BC_110</t>
  </si>
  <si>
    <t>ODR_CD_111</t>
  </si>
  <si>
    <t>ODR_BC_111</t>
  </si>
  <si>
    <t>ODR_CD_112</t>
  </si>
  <si>
    <t>ODR_BC_112</t>
  </si>
  <si>
    <t>ODR_CD_113</t>
  </si>
  <si>
    <t>ODR_BC_113</t>
  </si>
  <si>
    <t>ODR_CD_114</t>
  </si>
  <si>
    <t>ODR_BC_114</t>
  </si>
  <si>
    <t>ODR_CD_115</t>
  </si>
  <si>
    <t>ODR_BC_115</t>
  </si>
  <si>
    <t>ODR_CD_116</t>
  </si>
  <si>
    <t>ODR_BC_116</t>
  </si>
  <si>
    <t>ODR_CD_117</t>
  </si>
  <si>
    <t>ODR_BC_117</t>
  </si>
  <si>
    <t>ODR_CD_118</t>
  </si>
  <si>
    <t>ODR_BC_118</t>
  </si>
  <si>
    <t>ODR_CD_119</t>
  </si>
  <si>
    <t>ODR_BC_119</t>
  </si>
  <si>
    <t>ODR_CD_120</t>
  </si>
  <si>
    <t>ODR_BC_120</t>
  </si>
  <si>
    <t>ODR_CD_121</t>
  </si>
  <si>
    <t>ODR_BC_121</t>
  </si>
  <si>
    <t>ODR_CD_122</t>
  </si>
  <si>
    <t>ODR_BC_122</t>
  </si>
  <si>
    <t>ODR_CD_123</t>
  </si>
  <si>
    <t>ODR_BC_123</t>
  </si>
  <si>
    <t>ODR_CD_124</t>
  </si>
  <si>
    <t>ODR_BC_124</t>
  </si>
  <si>
    <t>ODR_CD_125</t>
  </si>
  <si>
    <t>ODR_BC_125</t>
  </si>
  <si>
    <t>ODR_CD_126</t>
  </si>
  <si>
    <t>ODR_BC_126</t>
  </si>
  <si>
    <t>ODR_CD_127</t>
  </si>
  <si>
    <t>ODR_BC_127</t>
  </si>
  <si>
    <t>ODR_CD_128</t>
  </si>
  <si>
    <t>ODR_BC_128</t>
  </si>
  <si>
    <t>ODR_CD_129</t>
  </si>
  <si>
    <t>ODR_BC_129</t>
  </si>
  <si>
    <t>ODR_CD_130</t>
  </si>
  <si>
    <t>ODR_BC_130</t>
  </si>
  <si>
    <t>ODR_CD_131</t>
  </si>
  <si>
    <t>ODR_BC_131</t>
  </si>
  <si>
    <t>ODR_CD_132</t>
  </si>
  <si>
    <t>ODR_BC_132</t>
  </si>
  <si>
    <t>ODR_CD_133</t>
  </si>
  <si>
    <t>ODR_BC_133</t>
  </si>
  <si>
    <t>ODR_CD_134</t>
  </si>
  <si>
    <t>ODR_BC_134</t>
  </si>
  <si>
    <t>ODR_CD_135</t>
  </si>
  <si>
    <t>ODR_BC_135</t>
  </si>
  <si>
    <t>ODR_CD_136</t>
  </si>
  <si>
    <t>ODR_BC_136</t>
  </si>
  <si>
    <t>ODR_CD_137</t>
  </si>
  <si>
    <t>ODR_BC_137</t>
  </si>
  <si>
    <t>ODR_CD_138</t>
  </si>
  <si>
    <t>ODR_BC_138</t>
  </si>
  <si>
    <t>ODR_CD_139</t>
  </si>
  <si>
    <t>ODR_BC_139</t>
  </si>
  <si>
    <t>ODR_CD_140</t>
  </si>
  <si>
    <t>ODR_BC_140</t>
  </si>
  <si>
    <t>ODR_CD_141</t>
  </si>
  <si>
    <t>ODR_BC_141</t>
  </si>
  <si>
    <t>ODR_CD_142</t>
  </si>
  <si>
    <t>ODR_BC_142</t>
  </si>
  <si>
    <t>ODR_CD_143</t>
  </si>
  <si>
    <t>ODR_BC_143</t>
  </si>
  <si>
    <t>ODR_CD_144</t>
  </si>
  <si>
    <t>ODR_BC_144</t>
  </si>
  <si>
    <t>ODR_CD_145</t>
  </si>
  <si>
    <t>ODR_BC_145</t>
  </si>
  <si>
    <t>ODR_CD_146</t>
  </si>
  <si>
    <t>ODR_BC_146</t>
  </si>
  <si>
    <t>ODR_CD_147</t>
  </si>
  <si>
    <t>ODR_BC_147</t>
  </si>
  <si>
    <t>ODR_CD_148</t>
  </si>
  <si>
    <t>ODR_BC_148</t>
  </si>
  <si>
    <t>ODR_CD_149</t>
  </si>
  <si>
    <t>ODR_BC_149</t>
  </si>
  <si>
    <t>ODR_CD_150</t>
  </si>
  <si>
    <t>ODR_BC_150</t>
  </si>
  <si>
    <t>ODR_CD_151</t>
  </si>
  <si>
    <t>ODR_BC_151</t>
  </si>
  <si>
    <t>ODR_CD_152</t>
  </si>
  <si>
    <t>ODR_BC_152</t>
  </si>
  <si>
    <t>ODR_CD_153</t>
  </si>
  <si>
    <t>ODR_BC_153</t>
  </si>
  <si>
    <t>ODR_CD_154</t>
  </si>
  <si>
    <t>ODR_BC_154</t>
  </si>
  <si>
    <t>ODR_CD_155</t>
  </si>
  <si>
    <t>ODR_BC_155</t>
  </si>
  <si>
    <t>ODR_CD_156</t>
  </si>
  <si>
    <t>ODR_BC_156</t>
  </si>
  <si>
    <t>ODR_CD_157</t>
  </si>
  <si>
    <t>ODR_BC_157</t>
  </si>
  <si>
    <t>ODR_CD_158</t>
  </si>
  <si>
    <t>ODR_BC_158</t>
  </si>
  <si>
    <t>ODR_CD_159</t>
  </si>
  <si>
    <t>ODR_BC_159</t>
  </si>
  <si>
    <t>ODR_CD_160</t>
  </si>
  <si>
    <t>ODR_BC_160</t>
  </si>
  <si>
    <t>ODR_CD_161</t>
  </si>
  <si>
    <t>ODR_BC_161</t>
  </si>
  <si>
    <t>ODR_CD_162</t>
  </si>
  <si>
    <t>ODR_BC_162</t>
  </si>
  <si>
    <t>ODR_CD_163</t>
  </si>
  <si>
    <t>ODR_BC_163</t>
  </si>
  <si>
    <t>ODR_CD_164</t>
  </si>
  <si>
    <t>ODR_BC_164</t>
  </si>
  <si>
    <t>ODR_CD_165</t>
  </si>
  <si>
    <t>ODR_BC_165</t>
  </si>
  <si>
    <t>ODR_CD_166</t>
  </si>
  <si>
    <t>ODR_BC_166</t>
  </si>
  <si>
    <t>ODR_CD_167</t>
  </si>
  <si>
    <t>ODR_BC_167</t>
  </si>
  <si>
    <t>ODR_CD_168</t>
  </si>
  <si>
    <t>ODR_BC_168</t>
  </si>
  <si>
    <t>ODR_CD_169</t>
  </si>
  <si>
    <t>ODR_BC_169</t>
  </si>
  <si>
    <t>ODR_CD_170</t>
  </si>
  <si>
    <t>ODR_BC_170</t>
  </si>
  <si>
    <t>ODR_CD_171</t>
  </si>
  <si>
    <t>ODR_BC_171</t>
  </si>
  <si>
    <t>ODR_CD_172</t>
  </si>
  <si>
    <t>ODR_BC_172</t>
  </si>
  <si>
    <t>ODR_CD_173</t>
  </si>
  <si>
    <t>ODR_BC_173</t>
  </si>
  <si>
    <t>ODR_CD_174</t>
  </si>
  <si>
    <t>ODR_BC_174</t>
  </si>
  <si>
    <t>ODR_CD_175</t>
  </si>
  <si>
    <t>ODR_BC_175</t>
  </si>
  <si>
    <t>ODR_CD_176</t>
  </si>
  <si>
    <t>ODR_BC_176</t>
  </si>
  <si>
    <t>ODR_CD_177</t>
  </si>
  <si>
    <t>ODR_BC_177</t>
  </si>
  <si>
    <t>ODR_CD_178</t>
  </si>
  <si>
    <t>ODR_BC_178</t>
  </si>
  <si>
    <t>ODR_CD_179</t>
  </si>
  <si>
    <t>ODR_BC_179</t>
  </si>
  <si>
    <t>ODR_CD_180</t>
  </si>
  <si>
    <t>ODR_BC_180</t>
  </si>
  <si>
    <t>ODR_CD_181</t>
  </si>
  <si>
    <t>ODR_BC_181</t>
  </si>
  <si>
    <t>ODR_CD_182</t>
  </si>
  <si>
    <t>ODR_BC_182</t>
  </si>
  <si>
    <t>ODR_CD_183</t>
  </si>
  <si>
    <t>ODR_BC_183</t>
  </si>
  <si>
    <t>ODR_CD_184</t>
  </si>
  <si>
    <t>ODR_BC_184</t>
  </si>
  <si>
    <t>ODR_CD_185</t>
  </si>
  <si>
    <t>ODR_BC_185</t>
  </si>
  <si>
    <t>ODR_CD_186</t>
  </si>
  <si>
    <t>ODR_BC_186</t>
  </si>
  <si>
    <t>ODR_CD_187</t>
  </si>
  <si>
    <t>ODR_BC_187</t>
  </si>
  <si>
    <t>ODR_CD_188</t>
  </si>
  <si>
    <t>ODR_BC_188</t>
  </si>
  <si>
    <t>ODR_CD_189</t>
  </si>
  <si>
    <t>ODR_BC_189</t>
  </si>
  <si>
    <t>ODR_CD_190</t>
  </si>
  <si>
    <t>ODR_BC_190</t>
  </si>
  <si>
    <t>ODR_CD_191</t>
  </si>
  <si>
    <t>ODR_BC_191</t>
  </si>
  <si>
    <t>ODR_CD_192</t>
  </si>
  <si>
    <t>ODR_BC_192</t>
  </si>
  <si>
    <t>ODR_CD_193</t>
  </si>
  <si>
    <t>ODR_BC_193</t>
  </si>
  <si>
    <t>ODR_CD_194</t>
  </si>
  <si>
    <t>ODR_BC_194</t>
  </si>
  <si>
    <t>ODR_CD_195</t>
  </si>
  <si>
    <t>ODR_BC_195</t>
  </si>
  <si>
    <t>ODR_CD_196</t>
  </si>
  <si>
    <t>ODR_BC_196</t>
  </si>
  <si>
    <t>ODR_CD_197</t>
  </si>
  <si>
    <t>ODR_BC_197</t>
  </si>
  <si>
    <t>ODR_CD_198</t>
  </si>
  <si>
    <t>ODR_BC_198</t>
  </si>
  <si>
    <t>ODR_CD_199</t>
  </si>
  <si>
    <t>ODR_BC_199</t>
  </si>
  <si>
    <t>ODR_CD_200</t>
  </si>
  <si>
    <t>ODR_BC_200</t>
  </si>
  <si>
    <t>ODR_CD_201</t>
  </si>
  <si>
    <t>ODR_BC_201</t>
  </si>
  <si>
    <t>ODR_CD_202</t>
  </si>
  <si>
    <t>ODR_BC_202</t>
  </si>
  <si>
    <t>ODR_CD_203</t>
  </si>
  <si>
    <t>ODR_BC_203</t>
  </si>
  <si>
    <t>ODR_CD_204</t>
  </si>
  <si>
    <t>ODR_BC_204</t>
  </si>
  <si>
    <t>ODR_CD_205</t>
  </si>
  <si>
    <t>ODR_BC_205</t>
  </si>
  <si>
    <t>ODR_CD_206</t>
  </si>
  <si>
    <t>ODR_BC_206</t>
  </si>
  <si>
    <t>ODR_CD_207</t>
  </si>
  <si>
    <t>ODR_BC_207</t>
  </si>
  <si>
    <t>ODR_CD_208</t>
  </si>
  <si>
    <t>ODR_BC_208</t>
  </si>
  <si>
    <t>ODR_CD_209</t>
  </si>
  <si>
    <t>ODR_BC_209</t>
  </si>
  <si>
    <t>ODR_CD_210</t>
  </si>
  <si>
    <t>ODR_BC_210</t>
  </si>
  <si>
    <t>ODR_CD_211</t>
  </si>
  <si>
    <t>ODR_BC_211</t>
  </si>
  <si>
    <t>ODR_CD_212</t>
  </si>
  <si>
    <t>ODR_BC_212</t>
  </si>
  <si>
    <t>ODR_CD_213</t>
  </si>
  <si>
    <t>ODR_BC_213</t>
  </si>
  <si>
    <t>ODR_CD_214</t>
  </si>
  <si>
    <t>ODR_BC_214</t>
  </si>
  <si>
    <t>ODR_CD_215</t>
  </si>
  <si>
    <t>ODR_BC_215</t>
  </si>
  <si>
    <t>ODR_CD_216</t>
  </si>
  <si>
    <t>ODR_BC_216</t>
  </si>
  <si>
    <t>ODR_CD_217</t>
  </si>
  <si>
    <t>ODR_BC_217</t>
  </si>
  <si>
    <t>ODR_CD_218</t>
  </si>
  <si>
    <t>ODR_BC_218</t>
  </si>
  <si>
    <t>ODR_CD_219</t>
  </si>
  <si>
    <t>ODR_BC_219</t>
  </si>
  <si>
    <t>ODR_CD_220</t>
  </si>
  <si>
    <t>ODR_BC_220</t>
  </si>
  <si>
    <t>ODR_CD_221</t>
  </si>
  <si>
    <t>ODR_BC_221</t>
  </si>
  <si>
    <t>ODR_CD_222</t>
  </si>
  <si>
    <t>ODR_BC_222</t>
  </si>
  <si>
    <t>ODR_CD_223</t>
  </si>
  <si>
    <t>ODR_BC_223</t>
  </si>
  <si>
    <t>ODR_CD_224</t>
  </si>
  <si>
    <t>ODR_BC_224</t>
  </si>
  <si>
    <t>ODR_CD_225</t>
  </si>
  <si>
    <t>ODR_BC_225</t>
  </si>
  <si>
    <t>ODR_CD_226</t>
  </si>
  <si>
    <t>ODR_BC_226</t>
  </si>
  <si>
    <t>ODR_CD_227</t>
  </si>
  <si>
    <t>ODR_BC_227</t>
  </si>
  <si>
    <t>ODR_CD_228</t>
  </si>
  <si>
    <t>ODR_BC_228</t>
  </si>
  <si>
    <t>ODR_CD_229</t>
  </si>
  <si>
    <t>ODR_BC_229</t>
  </si>
  <si>
    <t>ODR_CD_230</t>
  </si>
  <si>
    <t>ODR_BC_230</t>
  </si>
  <si>
    <t>ODR_CD_231</t>
  </si>
  <si>
    <t>ODR_BC_231</t>
  </si>
  <si>
    <t>ODR_CD_232</t>
  </si>
  <si>
    <t>ODR_BC_232</t>
  </si>
  <si>
    <t>ODR_CD_233</t>
  </si>
  <si>
    <t>ODR_BC_233</t>
  </si>
  <si>
    <t>ODR_CD_234</t>
  </si>
  <si>
    <t>ODR_BC_234</t>
  </si>
  <si>
    <t>ODR_CD_235</t>
  </si>
  <si>
    <t>ODR_BC_235</t>
  </si>
  <si>
    <t>ODR_CD_236</t>
  </si>
  <si>
    <t>ODR_BC_236</t>
  </si>
  <si>
    <t>ODR_CD_237</t>
  </si>
  <si>
    <t>ODR_BC_237</t>
  </si>
  <si>
    <t>ODR_CD_238</t>
  </si>
  <si>
    <t>ODR_BC_238</t>
  </si>
  <si>
    <t>ODR_CD_239</t>
  </si>
  <si>
    <t>ODR_BC_239</t>
  </si>
  <si>
    <t>ODR_CD_240</t>
  </si>
  <si>
    <t>ODR_BC_240</t>
  </si>
  <si>
    <t>ODR_CD_241</t>
  </si>
  <si>
    <t>ODR_BC_241</t>
  </si>
  <si>
    <t>ODR_CD_242</t>
  </si>
  <si>
    <t>ODR_BC_242</t>
  </si>
  <si>
    <t>ODR_CD_243</t>
  </si>
  <si>
    <t>ODR_BC_243</t>
  </si>
  <si>
    <t>ODR_CD_244</t>
  </si>
  <si>
    <t>ODR_BC_244</t>
  </si>
  <si>
    <t>ODR_CD_245</t>
  </si>
  <si>
    <t>ODR_BC_245</t>
  </si>
  <si>
    <t>ODR_CD_246</t>
  </si>
  <si>
    <t>ODR_BC_246</t>
  </si>
  <si>
    <t>ODR_CD_247</t>
  </si>
  <si>
    <t>ODR_BC_247</t>
  </si>
  <si>
    <t>ODR_CD_248</t>
  </si>
  <si>
    <t>ODR_BC_248</t>
  </si>
  <si>
    <t>ODR_CD_249</t>
  </si>
  <si>
    <t>ODR_BC_249</t>
  </si>
  <si>
    <t>ODR_CD_250</t>
  </si>
  <si>
    <t>ODR_BC_250</t>
  </si>
  <si>
    <t>ODR_CD_251</t>
  </si>
  <si>
    <t>ODR_BC_251</t>
  </si>
  <si>
    <t>ODR_CD_252</t>
  </si>
  <si>
    <t>ODR_BC_252</t>
  </si>
  <si>
    <t>ODR_CD_253</t>
  </si>
  <si>
    <t>ODR_BC_253</t>
  </si>
  <si>
    <t>ODR_CD_254</t>
  </si>
  <si>
    <t>ODR_BC_254</t>
  </si>
  <si>
    <t>ODR_CD_255</t>
  </si>
  <si>
    <t>ODR_BC_255</t>
  </si>
  <si>
    <t>ODR_CD_256</t>
  </si>
  <si>
    <t>ODR_BC_256</t>
  </si>
  <si>
    <t>ODR_CD_257</t>
  </si>
  <si>
    <t>ODR_BC_257</t>
  </si>
  <si>
    <t>ODR_CD_258</t>
  </si>
  <si>
    <t>ODR_BC_258</t>
  </si>
  <si>
    <t>ODR_CD_259</t>
  </si>
  <si>
    <t>ODR_BC_259</t>
  </si>
  <si>
    <t>ODR_CD_260</t>
  </si>
  <si>
    <t>ODR_BC_260</t>
  </si>
  <si>
    <t>ODR_CD_261</t>
  </si>
  <si>
    <t>ODR_BC_261</t>
  </si>
  <si>
    <t>ODR_CD_262</t>
  </si>
  <si>
    <t>ODR_BC_262</t>
  </si>
  <si>
    <t>ODR_CD_263</t>
  </si>
  <si>
    <t>ODR_BC_263</t>
  </si>
  <si>
    <t>ODR_CD_264</t>
  </si>
  <si>
    <t>ODR_BC_264</t>
  </si>
  <si>
    <t>ODR_CD_265</t>
  </si>
  <si>
    <t>ODR_BC_265</t>
  </si>
  <si>
    <t>ODR_CD_266</t>
  </si>
  <si>
    <t>ODR_BC_266</t>
  </si>
  <si>
    <t>ODR_CD_267</t>
  </si>
  <si>
    <t>ODR_BC_267</t>
  </si>
  <si>
    <t>ODR_CD_268</t>
  </si>
  <si>
    <t>ODR_BC_268</t>
  </si>
  <si>
    <t>ODR_CD_269</t>
  </si>
  <si>
    <t>ODR_BC_269</t>
  </si>
  <si>
    <t>ODR_CD_270</t>
  </si>
  <si>
    <t>ODR_BC_270</t>
  </si>
  <si>
    <t>ODR_CD_271</t>
  </si>
  <si>
    <t>ODR_BC_271</t>
  </si>
  <si>
    <t>ODR_CD_272</t>
  </si>
  <si>
    <t>ODR_BC_272</t>
  </si>
  <si>
    <t>ODR_CD_273</t>
  </si>
  <si>
    <t>ODR_BC_273</t>
  </si>
  <si>
    <t>ODR_CD_274</t>
  </si>
  <si>
    <t>ODR_BC_274</t>
  </si>
  <si>
    <t>ODR_CD_275</t>
  </si>
  <si>
    <t>ODR_BC_275</t>
  </si>
  <si>
    <t>ODR_CD_276</t>
  </si>
  <si>
    <t>ODR_BC_276</t>
  </si>
  <si>
    <t>ODR_CD_277</t>
  </si>
  <si>
    <t>ODR_BC_277</t>
  </si>
  <si>
    <t>ODR_CD_278</t>
  </si>
  <si>
    <t>ODR_BC_278</t>
  </si>
  <si>
    <t>ODR_CD_279</t>
  </si>
  <si>
    <t>ODR_BC_279</t>
  </si>
  <si>
    <t>ODR_CD_280</t>
  </si>
  <si>
    <t>ODR_BC_280</t>
  </si>
  <si>
    <t>ODR_CD_281</t>
  </si>
  <si>
    <t>ODR_BC_281</t>
  </si>
  <si>
    <t>ODR_CD_282</t>
  </si>
  <si>
    <t>ODR_BC_282</t>
  </si>
  <si>
    <t>ODR_CD_283</t>
  </si>
  <si>
    <t>ODR_BC_283</t>
  </si>
  <si>
    <t>ODR_CD_284</t>
  </si>
  <si>
    <t>ODR_BC_284</t>
  </si>
  <si>
    <t>ODR_CD_285</t>
  </si>
  <si>
    <t>ODR_BC_285</t>
  </si>
  <si>
    <t>ODR_CD_286</t>
  </si>
  <si>
    <t>ODR_BC_286</t>
  </si>
  <si>
    <t>ODR_CD_287</t>
  </si>
  <si>
    <t>ODR_BC_287</t>
  </si>
  <si>
    <t>ODR_CD_288</t>
  </si>
  <si>
    <t>ODR_BC_288</t>
  </si>
  <si>
    <t>ODR_CD_289</t>
  </si>
  <si>
    <t>ODR_BC_289</t>
  </si>
  <si>
    <t>ODR_CD_290</t>
  </si>
  <si>
    <t>ODR_BC_290</t>
  </si>
  <si>
    <t>ODR_CD_291</t>
  </si>
  <si>
    <t>ODR_BC_291</t>
  </si>
  <si>
    <t>ODR_CD_292</t>
  </si>
  <si>
    <t>ODR_BC_292</t>
  </si>
  <si>
    <t>ODR_CD_293</t>
  </si>
  <si>
    <t>ODR_BC_293</t>
  </si>
  <si>
    <t>ODR_CD_294</t>
  </si>
  <si>
    <t>ODR_BC_294</t>
  </si>
  <si>
    <t>ODR_CD_295</t>
  </si>
  <si>
    <t>ODR_BC_295</t>
  </si>
  <si>
    <t>ODR_CD_296</t>
  </si>
  <si>
    <t>ODR_BC_296</t>
  </si>
  <si>
    <t>ODR_CD_297</t>
  </si>
  <si>
    <t>ODR_BC_297</t>
  </si>
  <si>
    <t>ODR_CD_298</t>
  </si>
  <si>
    <t>ODR_BC_298</t>
  </si>
  <si>
    <t>ODR_CD_299</t>
  </si>
  <si>
    <t>ODR_BC_299</t>
  </si>
  <si>
    <t>ODR_CD_300</t>
  </si>
  <si>
    <t>ODR_BC_300</t>
  </si>
  <si>
    <t>ODR_CD_301</t>
  </si>
  <si>
    <t>ODR_BC_301</t>
  </si>
  <si>
    <t>ODR_CD_302</t>
  </si>
  <si>
    <t>ODR_BC_302</t>
  </si>
  <si>
    <t>ODR_CD_303</t>
  </si>
  <si>
    <t>ODR_BC_303</t>
  </si>
  <si>
    <t>ODR_CD_304</t>
  </si>
  <si>
    <t>ODR_BC_304</t>
  </si>
  <si>
    <t>ODR_CD_305</t>
  </si>
  <si>
    <t>ODR_BC_305</t>
  </si>
  <si>
    <t>ODR_CD_306</t>
  </si>
  <si>
    <t>ODR_BC_306</t>
  </si>
  <si>
    <t>ODR_CD_307</t>
  </si>
  <si>
    <t>ODR_BC_307</t>
  </si>
  <si>
    <t>ODR_CD_308</t>
  </si>
  <si>
    <t>ODR_BC_308</t>
  </si>
  <si>
    <t>ODR_CD_309</t>
  </si>
  <si>
    <t>ODR_BC_309</t>
  </si>
  <si>
    <t>ODR_CD_310</t>
  </si>
  <si>
    <t>ODR_BC_310</t>
  </si>
  <si>
    <t>ODR_CD_311</t>
  </si>
  <si>
    <t>ODR_BC_311</t>
  </si>
  <si>
    <t>ODR_CD_312</t>
  </si>
  <si>
    <t>ODR_BC_312</t>
  </si>
  <si>
    <t>ODR_CD_313</t>
  </si>
  <si>
    <t>ODR_BC_313</t>
  </si>
  <si>
    <t>ODR_CD_314</t>
  </si>
  <si>
    <t>ODR_BC_314</t>
  </si>
  <si>
    <t>ODR_CD_315</t>
  </si>
  <si>
    <t>ODR_BC_315</t>
  </si>
  <si>
    <t>ODR_CD_316</t>
  </si>
  <si>
    <t>ODR_BC_316</t>
  </si>
  <si>
    <t>ODR_CD_317</t>
  </si>
  <si>
    <t>ODR_BC_317</t>
  </si>
  <si>
    <t>ODR_CD_318</t>
  </si>
  <si>
    <t>ODR_BC_318</t>
  </si>
  <si>
    <t>ODR_CD_319</t>
  </si>
  <si>
    <t>ODR_BC_319</t>
  </si>
  <si>
    <t>ODR_CD_320</t>
  </si>
  <si>
    <t>ODR_BC_320</t>
  </si>
  <si>
    <t>ODR_CD_321</t>
  </si>
  <si>
    <t>ODR_BC_321</t>
  </si>
  <si>
    <t>ODR_CD_322</t>
  </si>
  <si>
    <t>ODR_BC_322</t>
  </si>
  <si>
    <t>ODR_CD_323</t>
  </si>
  <si>
    <t>ODR_BC_323</t>
  </si>
  <si>
    <t>ODR_CD_324</t>
  </si>
  <si>
    <t>ODR_BC_324</t>
  </si>
  <si>
    <t>ODR_CD_325</t>
  </si>
  <si>
    <t>ODR_BC_325</t>
  </si>
  <si>
    <t>ODR_CD_326</t>
  </si>
  <si>
    <t>ODR_BC_326</t>
  </si>
  <si>
    <t>ODR_CD_327</t>
  </si>
  <si>
    <t>ODR_BC_327</t>
  </si>
  <si>
    <t>ODR_CD_328</t>
  </si>
  <si>
    <t>ODR_BC_328</t>
  </si>
  <si>
    <t>ODR_CD_329</t>
  </si>
  <si>
    <t>ODR_BC_329</t>
  </si>
  <si>
    <t>ODR_CD_330</t>
  </si>
  <si>
    <t>ODR_BC_330</t>
  </si>
  <si>
    <t>ODR_CD_331</t>
  </si>
  <si>
    <t>ODR_BC_331</t>
  </si>
  <si>
    <t>ODR_CD_332</t>
  </si>
  <si>
    <t>ODR_BC_332</t>
  </si>
  <si>
    <t>ODR_CD_333</t>
  </si>
  <si>
    <t>ODR_BC_333</t>
  </si>
  <si>
    <t>ODR_CD_334</t>
  </si>
  <si>
    <t>ODR_BC_334</t>
  </si>
  <si>
    <t>ODR_CD_335</t>
  </si>
  <si>
    <t>ODR_BC_335</t>
  </si>
  <si>
    <t>ODR_CD_336</t>
  </si>
  <si>
    <t>ODR_BC_336</t>
  </si>
  <si>
    <t>ODR_CD_337</t>
  </si>
  <si>
    <t>ODR_BC_337</t>
  </si>
  <si>
    <t>ODR_CD_338</t>
  </si>
  <si>
    <t>ODR_BC_338</t>
  </si>
  <si>
    <t>ODR_CD_339</t>
  </si>
  <si>
    <t>ODR_BC_339</t>
  </si>
  <si>
    <t>ODR_CD_340</t>
  </si>
  <si>
    <t>ODR_BC_340</t>
  </si>
  <si>
    <t>ODR_CD_341</t>
  </si>
  <si>
    <t>ODR_BC_341</t>
  </si>
  <si>
    <t>ODR_CD_342</t>
  </si>
  <si>
    <t>ODR_BC_342</t>
  </si>
  <si>
    <t>ODR_CD_343</t>
  </si>
  <si>
    <t>ODR_BC_343</t>
  </si>
  <si>
    <t>ODR_CD_344</t>
  </si>
  <si>
    <t>ODR_BC_344</t>
  </si>
  <si>
    <t>ODR_CD_345</t>
  </si>
  <si>
    <t>ODR_BC_345</t>
  </si>
  <si>
    <t>ODR_CD_346</t>
  </si>
  <si>
    <t>ODR_BC_346</t>
  </si>
  <si>
    <t>ODR_CD_347</t>
  </si>
  <si>
    <t>ODR_BC_347</t>
  </si>
  <si>
    <t>ODR_CD_348</t>
  </si>
  <si>
    <t>ODR_BC_348</t>
  </si>
  <si>
    <t>ODR_CD_349</t>
  </si>
  <si>
    <t>ODR_BC_349</t>
  </si>
  <si>
    <t>ODR_CD_350</t>
  </si>
  <si>
    <t>ODR_BC_350</t>
  </si>
  <si>
    <t>ODR_CD_351</t>
  </si>
  <si>
    <t>ODR_BC_351</t>
  </si>
  <si>
    <t>ODR_CD_352</t>
  </si>
  <si>
    <t>ODR_BC_352</t>
  </si>
  <si>
    <t>ODR_CD_353</t>
  </si>
  <si>
    <t>ODR_BC_353</t>
  </si>
  <si>
    <t>ODR_CD_354</t>
  </si>
  <si>
    <t>ODR_BC_354</t>
  </si>
  <si>
    <t>ODR_CD_355</t>
  </si>
  <si>
    <t>ODR_BC_355</t>
  </si>
  <si>
    <t>ODR_CD_356</t>
  </si>
  <si>
    <t>ODR_BC_356</t>
  </si>
  <si>
    <t>ODR_CD_357</t>
  </si>
  <si>
    <t>ODR_BC_357</t>
  </si>
  <si>
    <t>ODR_CD_358</t>
  </si>
  <si>
    <t>ODR_BC_358</t>
  </si>
  <si>
    <t>ODR_CD_359</t>
  </si>
  <si>
    <t>ODR_BC_359</t>
  </si>
  <si>
    <t>ODR_CD_360</t>
  </si>
  <si>
    <t>ODR_BC_360</t>
  </si>
  <si>
    <t>ODR_CD_361</t>
  </si>
  <si>
    <t>ODR_BC_361</t>
  </si>
  <si>
    <t>ODR_CD_362</t>
  </si>
  <si>
    <t>ODR_BC_362</t>
  </si>
  <si>
    <t>ODR_CD_363</t>
  </si>
  <si>
    <t>ODR_BC_363</t>
  </si>
  <si>
    <t>ODR_CD_364</t>
  </si>
  <si>
    <t>ODR_BC_364</t>
  </si>
  <si>
    <t>ODR_CD_365</t>
  </si>
  <si>
    <t>ODR_BC_365</t>
  </si>
  <si>
    <t>ODR_CD_366</t>
  </si>
  <si>
    <t>ODR_BC_366</t>
  </si>
  <si>
    <t>ODR_CD_367</t>
  </si>
  <si>
    <t>ODR_BC_367</t>
  </si>
  <si>
    <t>ODR_CD_368</t>
  </si>
  <si>
    <t>ODR_BC_368</t>
  </si>
  <si>
    <t>ODR_CD_369</t>
  </si>
  <si>
    <t>ODR_BC_369</t>
  </si>
  <si>
    <t>ODR_CD_370</t>
  </si>
  <si>
    <t>ODR_BC_370</t>
  </si>
  <si>
    <t>ODR_CD_371</t>
  </si>
  <si>
    <t>ODR_BC_371</t>
  </si>
  <si>
    <t>ODR_CD_372</t>
  </si>
  <si>
    <t>ODR_BC_372</t>
  </si>
  <si>
    <t>ODR_CD_373</t>
  </si>
  <si>
    <t>ODR_BC_373</t>
  </si>
  <si>
    <t>ODR_CD_374</t>
  </si>
  <si>
    <t>ODR_BC_374</t>
  </si>
  <si>
    <t>ODR_CD_375</t>
  </si>
  <si>
    <t>ODR_BC_375</t>
  </si>
  <si>
    <t>ODR_CD_376</t>
  </si>
  <si>
    <t>ODR_BC_376</t>
  </si>
  <si>
    <t>ODR_CD_377</t>
  </si>
  <si>
    <t>ODR_BC_377</t>
  </si>
  <si>
    <t>ODR_CD_378</t>
  </si>
  <si>
    <t>ODR_BC_378</t>
  </si>
  <si>
    <t>ODR_CD_379</t>
  </si>
  <si>
    <t>ODR_BC_379</t>
  </si>
  <si>
    <t>ODR_CD_380</t>
  </si>
  <si>
    <t>ODR_BC_380</t>
  </si>
  <si>
    <t>ODR_CD_381</t>
  </si>
  <si>
    <t>ODR_BC_381</t>
  </si>
  <si>
    <t>ODR_CD_382</t>
  </si>
  <si>
    <t>ODR_BC_382</t>
  </si>
  <si>
    <t>ODR_CD_383</t>
  </si>
  <si>
    <t>ODR_BC_383</t>
  </si>
  <si>
    <t>ODR_CD_384</t>
  </si>
  <si>
    <t>ODR_BC_384</t>
  </si>
  <si>
    <t>ODR_CD_385</t>
  </si>
  <si>
    <t>ODR_BC_385</t>
  </si>
  <si>
    <t>ODR_CD_386</t>
  </si>
  <si>
    <t>ODR_BC_386</t>
  </si>
  <si>
    <t>ODR_CD_387</t>
  </si>
  <si>
    <t>ODR_BC_387</t>
  </si>
  <si>
    <t>ODR_CD_388</t>
  </si>
  <si>
    <t>ODR_BC_388</t>
  </si>
  <si>
    <t>ODR_CD_389</t>
  </si>
  <si>
    <t>ODR_BC_389</t>
  </si>
  <si>
    <t>ODR_CD_390</t>
  </si>
  <si>
    <t>ODR_BC_390</t>
  </si>
  <si>
    <t>ODR_CD_391</t>
  </si>
  <si>
    <t>ODR_BC_391</t>
  </si>
  <si>
    <t>ODR_CD_392</t>
  </si>
  <si>
    <t>ODR_BC_392</t>
  </si>
  <si>
    <t>ODR_CD_393</t>
  </si>
  <si>
    <t>ODR_BC_393</t>
  </si>
  <si>
    <t>ODR_CD_394</t>
  </si>
  <si>
    <t>ODR_BC_394</t>
  </si>
  <si>
    <t>ODR_CD_395</t>
  </si>
  <si>
    <t>ODR_BC_395</t>
  </si>
  <si>
    <t>ODR_CD_396</t>
  </si>
  <si>
    <t>ODR_BC_396</t>
  </si>
  <si>
    <t>ODR_CD_397</t>
  </si>
  <si>
    <t>ODR_BC_397</t>
  </si>
  <si>
    <t>ODR_CD_398</t>
  </si>
  <si>
    <t>ODR_BC_398</t>
  </si>
  <si>
    <t>ODR_CD_399</t>
  </si>
  <si>
    <t>ODR_BC_399</t>
  </si>
  <si>
    <t>ODR_CD_400</t>
  </si>
  <si>
    <t>ODR_BC_400</t>
  </si>
  <si>
    <t>ODR_CD_401</t>
  </si>
  <si>
    <t>ODR_BC_401</t>
  </si>
  <si>
    <t>ODR_CD_402</t>
  </si>
  <si>
    <t>ODR_BC_402</t>
  </si>
  <si>
    <t>ODR_CD_403</t>
  </si>
  <si>
    <t>ODR_BC_403</t>
  </si>
  <si>
    <t>ODR_CD_404</t>
  </si>
  <si>
    <t>ODR_BC_404</t>
  </si>
  <si>
    <t>ODR_CD_405</t>
  </si>
  <si>
    <t>ODR_BC_405</t>
  </si>
  <si>
    <t>ODR_CD_406</t>
  </si>
  <si>
    <t>ODR_BC_406</t>
  </si>
  <si>
    <t>ODR_CD_407</t>
  </si>
  <si>
    <t>ODR_BC_407</t>
  </si>
  <si>
    <t>ODR_CD_408</t>
  </si>
  <si>
    <t>ODR_BC_408</t>
  </si>
  <si>
    <t>ODR_CD_409</t>
  </si>
  <si>
    <t>ODR_BC_409</t>
  </si>
  <si>
    <t>ODR_CD_410</t>
  </si>
  <si>
    <t>ODR_BC_410</t>
  </si>
  <si>
    <t>ODR_CD_411</t>
  </si>
  <si>
    <t>ODR_BC_411</t>
  </si>
  <si>
    <t>ODR_CD_412</t>
  </si>
  <si>
    <t>ODR_BC_412</t>
  </si>
  <si>
    <t>ODR_CD_413</t>
  </si>
  <si>
    <t>ODR_BC_413</t>
  </si>
  <si>
    <t>ODR_CD_414</t>
  </si>
  <si>
    <t>ODR_BC_414</t>
  </si>
  <si>
    <t>ODR_CD_415</t>
  </si>
  <si>
    <t>ODR_BC_415</t>
  </si>
  <si>
    <t>ODR_CD_416</t>
  </si>
  <si>
    <t>ODR_BC_416</t>
  </si>
  <si>
    <t>ODR_CD_417</t>
  </si>
  <si>
    <t>ODR_BC_417</t>
  </si>
  <si>
    <t>ODR_CD_418</t>
  </si>
  <si>
    <t>ODR_BC_418</t>
  </si>
  <si>
    <t>ODR_CD_419</t>
  </si>
  <si>
    <t>ODR_BC_419</t>
  </si>
  <si>
    <t>ODR_CD_420</t>
  </si>
  <si>
    <t>ODR_BC_420</t>
  </si>
  <si>
    <t>ODR_CD_421</t>
  </si>
  <si>
    <t>ODR_BC_421</t>
  </si>
  <si>
    <t>ODR_CD_422</t>
  </si>
  <si>
    <t>ODR_BC_422</t>
  </si>
  <si>
    <t>ODR_CD_423</t>
  </si>
  <si>
    <t>ODR_BC_423</t>
  </si>
  <si>
    <t>ODR_CD_424</t>
  </si>
  <si>
    <t>ODR_BC_424</t>
  </si>
  <si>
    <t>ODR_CD_425</t>
  </si>
  <si>
    <t>ODR_BC_425</t>
  </si>
  <si>
    <t>ODR_CD_426</t>
  </si>
  <si>
    <t>ODR_BC_426</t>
  </si>
  <si>
    <t>ODR_CD_427</t>
  </si>
  <si>
    <t>ODR_BC_427</t>
  </si>
  <si>
    <t>ODR_CD_428</t>
  </si>
  <si>
    <t>ODR_BC_428</t>
  </si>
  <si>
    <t>ODR_CD_429</t>
  </si>
  <si>
    <t>ODR_BC_429</t>
  </si>
  <si>
    <t>ODR_CD_430</t>
  </si>
  <si>
    <t>ODR_BC_430</t>
  </si>
  <si>
    <t>ODR_CD_431</t>
  </si>
  <si>
    <t>ODR_BC_431</t>
  </si>
  <si>
    <t>ODR_CD_432</t>
  </si>
  <si>
    <t>ODR_BC_432</t>
  </si>
  <si>
    <t>ODR_CD_433</t>
  </si>
  <si>
    <t>ODR_BC_433</t>
  </si>
  <si>
    <t>ODR_CD_434</t>
  </si>
  <si>
    <t>ODR_BC_434</t>
  </si>
  <si>
    <t>ODR_CD_435</t>
  </si>
  <si>
    <t>ODR_BC_435</t>
  </si>
  <si>
    <t>ODR_CD_436</t>
  </si>
  <si>
    <t>ODR_BC_436</t>
  </si>
  <si>
    <t>ODR_CD_437</t>
  </si>
  <si>
    <t>ODR_BC_437</t>
  </si>
  <si>
    <t>ODR_CD_438</t>
  </si>
  <si>
    <t>ODR_BC_438</t>
  </si>
  <si>
    <t>ODR_CD_439</t>
  </si>
  <si>
    <t>ODR_BC_439</t>
  </si>
  <si>
    <t>ODR_CD_440</t>
  </si>
  <si>
    <t>ODR_BC_440</t>
  </si>
  <si>
    <t>ODR_CD_441</t>
  </si>
  <si>
    <t>ODR_BC_441</t>
  </si>
  <si>
    <t>ODR_CD_442</t>
  </si>
  <si>
    <t>ODR_BC_442</t>
  </si>
  <si>
    <t>ODR_CD_443</t>
  </si>
  <si>
    <t>ODR_BC_443</t>
  </si>
  <si>
    <t>ODR_CD_444</t>
  </si>
  <si>
    <t>ODR_BC_444</t>
  </si>
  <si>
    <t>ODR_CD_445</t>
  </si>
  <si>
    <t>ODR_BC_445</t>
  </si>
  <si>
    <t>ODR_CD_446</t>
  </si>
  <si>
    <t>ODR_BC_446</t>
  </si>
  <si>
    <t>ODR_CD_447</t>
  </si>
  <si>
    <t>ODR_BC_447</t>
  </si>
  <si>
    <t>ODR_CD_448</t>
  </si>
  <si>
    <t>ODR_BC_448</t>
  </si>
  <si>
    <t>ODR_CD_449</t>
  </si>
  <si>
    <t>ODR_BC_449</t>
  </si>
  <si>
    <t>ODR_CD_450</t>
  </si>
  <si>
    <t>ODR_BC_450</t>
  </si>
  <si>
    <t>ODR_CD_451</t>
  </si>
  <si>
    <t>ODR_BC_451</t>
  </si>
  <si>
    <t>ODR_CD_452</t>
  </si>
  <si>
    <t>ODR_BC_452</t>
  </si>
  <si>
    <t>ODR_CD_453</t>
  </si>
  <si>
    <t>ODR_BC_453</t>
  </si>
  <si>
    <t>ODR_CD_454</t>
  </si>
  <si>
    <t>ODR_BC_454</t>
  </si>
  <si>
    <t>ODR_CD_455</t>
  </si>
  <si>
    <t>ODR_BC_455</t>
  </si>
  <si>
    <t>ODR_CD_456</t>
  </si>
  <si>
    <t>ODR_BC_456</t>
  </si>
  <si>
    <t>ODR_CD_457</t>
  </si>
  <si>
    <t>ODR_BC_457</t>
  </si>
  <si>
    <t>ODR_CD_458</t>
  </si>
  <si>
    <t>ODR_BC_458</t>
  </si>
  <si>
    <t>ODR_CD_459</t>
  </si>
  <si>
    <t>ODR_BC_459</t>
  </si>
  <si>
    <t>ODR_CD_460</t>
  </si>
  <si>
    <t>ODR_BC_460</t>
  </si>
  <si>
    <t>ODR_CD_461</t>
  </si>
  <si>
    <t>ODR_BC_461</t>
  </si>
  <si>
    <t>ODR_CD_462</t>
  </si>
  <si>
    <t>ODR_BC_462</t>
  </si>
  <si>
    <t>ODR_CD_463</t>
  </si>
  <si>
    <t>ODR_BC_463</t>
  </si>
  <si>
    <t>ODR_CD_464</t>
  </si>
  <si>
    <t>ODR_BC_464</t>
  </si>
  <si>
    <t>ODR_CD_465</t>
  </si>
  <si>
    <t>ODR_BC_465</t>
  </si>
  <si>
    <t>ODR_CD_466</t>
  </si>
  <si>
    <t>ODR_BC_466</t>
  </si>
  <si>
    <t>ODR_CD_467</t>
  </si>
  <si>
    <t>ODR_BC_467</t>
  </si>
  <si>
    <t>ODR_CD_468</t>
  </si>
  <si>
    <t>ODR_BC_468</t>
  </si>
  <si>
    <t>ODR_CD_469</t>
  </si>
  <si>
    <t>ODR_BC_469</t>
  </si>
  <si>
    <t>ODR_CD_470</t>
  </si>
  <si>
    <t>ODR_BC_470</t>
  </si>
  <si>
    <t>ODR_CD_471</t>
  </si>
  <si>
    <t>ODR_BC_471</t>
  </si>
  <si>
    <t>ODR_CD_472</t>
  </si>
  <si>
    <t>ODR_BC_472</t>
  </si>
  <si>
    <t>ODR_CD_473</t>
  </si>
  <si>
    <t>ODR_BC_473</t>
  </si>
  <si>
    <t>ODR_CD_474</t>
  </si>
  <si>
    <t>ODR_BC_474</t>
  </si>
  <si>
    <t>ODR_CD_475</t>
  </si>
  <si>
    <t>ODR_BC_475</t>
  </si>
  <si>
    <t>ODR_CD_476</t>
  </si>
  <si>
    <t>ODR_BC_476</t>
  </si>
  <si>
    <t>ODR_CD_477</t>
  </si>
  <si>
    <t>ODR_BC_477</t>
  </si>
  <si>
    <t>ODR_CD_478</t>
  </si>
  <si>
    <t>ODR_BC_478</t>
  </si>
  <si>
    <t>ODR_CD_479</t>
  </si>
  <si>
    <t>ODR_BC_479</t>
  </si>
  <si>
    <t>ODR_CD_480</t>
  </si>
  <si>
    <t>ODR_BC_480</t>
  </si>
  <si>
    <t>ODR_CD_481</t>
  </si>
  <si>
    <t>ODR_BC_481</t>
  </si>
  <si>
    <t>ODR_CD_482</t>
  </si>
  <si>
    <t>ODR_BC_482</t>
  </si>
  <si>
    <t>ODR_CD_483</t>
  </si>
  <si>
    <t>ODR_BC_483</t>
  </si>
  <si>
    <t>ODR_CD_484</t>
  </si>
  <si>
    <t>ODR_BC_484</t>
  </si>
  <si>
    <t>ODR_CD_485</t>
  </si>
  <si>
    <t>ODR_BC_485</t>
  </si>
  <si>
    <t>ODR_CD_486</t>
  </si>
  <si>
    <t>ODR_BC_486</t>
  </si>
  <si>
    <t>ODR_CD_487</t>
  </si>
  <si>
    <t>ODR_BC_487</t>
  </si>
  <si>
    <t>ODR_CD_488</t>
  </si>
  <si>
    <t>ODR_BC_488</t>
  </si>
  <si>
    <t>ODR_CD_489</t>
  </si>
  <si>
    <t>ODR_BC_489</t>
  </si>
  <si>
    <t>ODR_CD_490</t>
  </si>
  <si>
    <t>ODR_BC_490</t>
  </si>
  <si>
    <t>ODR_CD_491</t>
  </si>
  <si>
    <t>ODR_BC_491</t>
  </si>
  <si>
    <t>ODR_CD_492</t>
  </si>
  <si>
    <t>ODR_BC_492</t>
  </si>
  <si>
    <t>ODR_CD_493</t>
  </si>
  <si>
    <t>ODR_BC_493</t>
  </si>
  <si>
    <t>ODR_CD_494</t>
  </si>
  <si>
    <t>ODR_BC_494</t>
  </si>
  <si>
    <t>ODR_CD_495</t>
  </si>
  <si>
    <t>ODR_BC_495</t>
  </si>
  <si>
    <t>ODR_CD_496</t>
  </si>
  <si>
    <t>ODR_BC_496</t>
  </si>
  <si>
    <t>ODR_CD_497</t>
  </si>
  <si>
    <t>ODR_BC_497</t>
  </si>
  <si>
    <t>ODR_CD_498</t>
  </si>
  <si>
    <t>ODR_BC_498</t>
  </si>
  <si>
    <t>ODR_CD_499</t>
  </si>
  <si>
    <t>ODR_BC_499</t>
  </si>
  <si>
    <t>ODR_CD_500</t>
  </si>
  <si>
    <t>ODR_BC_500</t>
  </si>
  <si>
    <t>ODR_CD_501</t>
  </si>
  <si>
    <t>ODR_BC_501</t>
  </si>
  <si>
    <t>Sr. No</t>
  </si>
  <si>
    <t>Order_Id</t>
  </si>
  <si>
    <t>Date</t>
  </si>
  <si>
    <t>Region</t>
  </si>
  <si>
    <t>Product</t>
  </si>
  <si>
    <t>Salesperson</t>
  </si>
  <si>
    <t>Quantities</t>
  </si>
  <si>
    <t>Unit_Price</t>
  </si>
  <si>
    <t>Total_Sales</t>
  </si>
  <si>
    <t>Akash</t>
  </si>
  <si>
    <t>Vineet</t>
  </si>
  <si>
    <t>Jayesh</t>
  </si>
  <si>
    <t>Ruchita</t>
  </si>
  <si>
    <t>Kamlesh</t>
  </si>
  <si>
    <t>Krishna</t>
  </si>
  <si>
    <t>Mehul</t>
  </si>
  <si>
    <t>Ronak</t>
  </si>
  <si>
    <t>Ankita</t>
  </si>
  <si>
    <t>Namita</t>
  </si>
  <si>
    <t>Suraj</t>
  </si>
  <si>
    <t>Shubham</t>
  </si>
  <si>
    <t>Row Labels</t>
  </si>
  <si>
    <t>Grand Total</t>
  </si>
  <si>
    <t>Sum of Total_Sales</t>
  </si>
  <si>
    <t>Region wise Revenue</t>
  </si>
  <si>
    <t>Region wise %</t>
  </si>
  <si>
    <t>Product wise Sales</t>
  </si>
  <si>
    <t>Ear Buds</t>
  </si>
  <si>
    <t>Smart Watch</t>
  </si>
  <si>
    <t>2023</t>
  </si>
  <si>
    <t>2024</t>
  </si>
  <si>
    <t>2025</t>
  </si>
  <si>
    <t>Jan</t>
  </si>
  <si>
    <t>Feb</t>
  </si>
  <si>
    <t>Mar</t>
  </si>
  <si>
    <t>Apr</t>
  </si>
  <si>
    <t>May</t>
  </si>
  <si>
    <t>Jun</t>
  </si>
  <si>
    <t>Jul</t>
  </si>
  <si>
    <t>Aug</t>
  </si>
  <si>
    <t>Sep</t>
  </si>
  <si>
    <t>Oct</t>
  </si>
  <si>
    <t>Nov</t>
  </si>
  <si>
    <t>Dec</t>
  </si>
  <si>
    <t>Month wise Sales</t>
  </si>
  <si>
    <t>Sum of Quantities</t>
  </si>
  <si>
    <t>Year wise Quantity Sold</t>
  </si>
  <si>
    <t>Month wise Quantity Sold</t>
  </si>
  <si>
    <t>Salesperson wise Sales</t>
  </si>
  <si>
    <t>Total Revenue</t>
  </si>
  <si>
    <t>Total Unit Sold</t>
  </si>
  <si>
    <t>Count of Quantities</t>
  </si>
  <si>
    <t>Total Orders</t>
  </si>
  <si>
    <t>Top 3 performing salesman</t>
  </si>
  <si>
    <t>Bottom 3 performing salesman</t>
  </si>
  <si>
    <t>Count of Region</t>
  </si>
  <si>
    <t>Column Labels</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</si>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</sst>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0.00,,&quot;M&quot;"/>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font>
    <font>
      <sz val="14"/>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rgb="FFC5D3FF"/>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0" fillId="0" borderId="1" xfId="0" applyBorder="1" applyAlignment="1">
      <alignment horizontal="center"/>
    </xf>
    <xf numFmtId="0" fontId="1" fillId="0" borderId="1" xfId="0" applyFont="1" applyBorder="1" applyAlignment="1">
      <alignment horizontal="center"/>
    </xf>
    <xf numFmtId="14" fontId="3" fillId="0" borderId="1" xfId="0" applyNumberFormat="1" applyFont="1" applyBorder="1" applyAlignment="1">
      <alignment horizontal="center" vertical="center"/>
    </xf>
    <xf numFmtId="0" fontId="3" fillId="0" borderId="1" xfId="0" applyFont="1" applyBorder="1" applyAlignment="1">
      <alignment horizontal="center" vertical="center"/>
    </xf>
    <xf numFmtId="0" fontId="4" fillId="2" borderId="1" xfId="0" applyFont="1" applyFill="1" applyBorder="1" applyAlignment="1">
      <alignment horizontal="center"/>
    </xf>
    <xf numFmtId="0" fontId="0" fillId="0" borderId="1" xfId="0" applyBorder="1"/>
    <xf numFmtId="0" fontId="0" fillId="0" borderId="1" xfId="0" pivotButton="1" applyBorder="1"/>
    <xf numFmtId="0" fontId="0" fillId="0" borderId="1" xfId="0" applyBorder="1" applyAlignment="1">
      <alignment horizontal="left"/>
    </xf>
    <xf numFmtId="164" fontId="0" fillId="0" borderId="1" xfId="0" applyNumberFormat="1" applyBorder="1"/>
    <xf numFmtId="10" fontId="0" fillId="0" borderId="1" xfId="0" applyNumberFormat="1" applyBorder="1"/>
    <xf numFmtId="0" fontId="2" fillId="0" borderId="1" xfId="0" applyFont="1" applyBorder="1" applyAlignment="1">
      <alignment horizontal="left"/>
    </xf>
    <xf numFmtId="0" fontId="2" fillId="0" borderId="1" xfId="0" applyFont="1" applyBorder="1"/>
    <xf numFmtId="164" fontId="2" fillId="0" borderId="1" xfId="0" applyNumberFormat="1" applyFont="1" applyBorder="1"/>
    <xf numFmtId="165" fontId="2" fillId="0" borderId="1" xfId="0" applyNumberFormat="1" applyFont="1" applyBorder="1"/>
    <xf numFmtId="164" fontId="0" fillId="0" borderId="1" xfId="0" applyNumberFormat="1" applyBorder="1" applyAlignment="1">
      <alignment horizontal="center"/>
    </xf>
    <xf numFmtId="0" fontId="5" fillId="3" borderId="1" xfId="0" applyFont="1" applyFill="1" applyBorder="1" applyAlignment="1">
      <alignment horizontal="center"/>
    </xf>
    <xf numFmtId="0" fontId="2" fillId="0" borderId="0" xfId="0" applyFont="1"/>
    <xf numFmtId="10" fontId="0" fillId="0" borderId="0" xfId="0" applyNumberFormat="1"/>
    <xf numFmtId="0" fontId="0" fillId="0" borderId="0" xfId="0" applyAlignment="1">
      <alignment horizontal="left"/>
    </xf>
    <xf numFmtId="10" fontId="2" fillId="0" borderId="1" xfId="0" applyNumberFormat="1" applyFont="1" applyBorder="1"/>
    <xf numFmtId="0" fontId="0" fillId="0" borderId="0" xfId="0" pivotButton="1"/>
    <xf numFmtId="0" fontId="0" fillId="0" borderId="0" xfId="0" applyAlignment="1">
      <alignment horizontal="left" indent="1"/>
    </xf>
    <xf numFmtId="0" fontId="2" fillId="3" borderId="1" xfId="0" applyFont="1" applyFill="1" applyBorder="1" applyAlignment="1">
      <alignment horizontal="center"/>
    </xf>
    <xf numFmtId="0" fontId="2" fillId="2" borderId="1" xfId="0" applyFont="1" applyFill="1" applyBorder="1" applyAlignment="1">
      <alignment horizontal="center"/>
    </xf>
    <xf numFmtId="0" fontId="5" fillId="2" borderId="2" xfId="0" applyFont="1" applyFill="1" applyBorder="1" applyAlignment="1">
      <alignment horizontal="center"/>
    </xf>
    <xf numFmtId="0" fontId="5" fillId="2" borderId="3" xfId="0" applyFont="1" applyFill="1" applyBorder="1" applyAlignment="1">
      <alignment horizontal="center"/>
    </xf>
    <xf numFmtId="0" fontId="5" fillId="2" borderId="1" xfId="0" applyFont="1" applyFill="1" applyBorder="1" applyAlignment="1">
      <alignment horizontal="center"/>
    </xf>
    <xf numFmtId="0" fontId="0" fillId="0" borderId="0" xfId="0" applyNumberFormat="1"/>
  </cellXfs>
  <cellStyles count="1">
    <cellStyle name="Normal" xfId="0" builtinId="0"/>
  </cellStyles>
  <dxfs count="134">
    <dxf>
      <font>
        <color rgb="FF9C0006"/>
      </font>
      <fill>
        <patternFill>
          <bgColor rgb="FFFFC7CE"/>
        </patternFill>
      </fill>
    </dxf>
    <dxf>
      <numFmt numFmtId="14" formatCode="0.00%"/>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FFFF00"/>
      <color rgb="FFB80E6F"/>
      <color rgb="FF4859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Final Dashboard.xlsx]Pivot Table!PivotTable8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Table'!$G$4:$G$11</c:f>
              <c:strCache>
                <c:ptCount val="7"/>
                <c:pt idx="0">
                  <c:v>Ear Buds</c:v>
                </c:pt>
                <c:pt idx="1">
                  <c:v>Smart Watch</c:v>
                </c:pt>
                <c:pt idx="2">
                  <c:v>Monitor</c:v>
                </c:pt>
                <c:pt idx="3">
                  <c:v>Tablet</c:v>
                </c:pt>
                <c:pt idx="4">
                  <c:v>Printer</c:v>
                </c:pt>
                <c:pt idx="5">
                  <c:v>Mobile</c:v>
                </c:pt>
                <c:pt idx="6">
                  <c:v>Laptop</c:v>
                </c:pt>
              </c:strCache>
            </c:strRef>
          </c:cat>
          <c:val>
            <c:numRef>
              <c:f>'Pivot Table'!$H$4:$H$11</c:f>
              <c:numCache>
                <c:formatCode>_(* #,##0_);_(* \(#,##0\);_(* "-"??_);_(@_)</c:formatCode>
                <c:ptCount val="7"/>
                <c:pt idx="0">
                  <c:v>31697559</c:v>
                </c:pt>
                <c:pt idx="1">
                  <c:v>52476195</c:v>
                </c:pt>
                <c:pt idx="2">
                  <c:v>54334688</c:v>
                </c:pt>
                <c:pt idx="3">
                  <c:v>56675607</c:v>
                </c:pt>
                <c:pt idx="4">
                  <c:v>63117308</c:v>
                </c:pt>
                <c:pt idx="5">
                  <c:v>71195670</c:v>
                </c:pt>
                <c:pt idx="6">
                  <c:v>72157694</c:v>
                </c:pt>
              </c:numCache>
            </c:numRef>
          </c:val>
          <c:extLst>
            <c:ext xmlns:c16="http://schemas.microsoft.com/office/drawing/2014/chart" uri="{C3380CC4-5D6E-409C-BE32-E72D297353CC}">
              <c16:uniqueId val="{00000000-23A5-4F37-97D1-18E44490A732}"/>
            </c:ext>
          </c:extLst>
        </c:ser>
        <c:dLbls>
          <c:dLblPos val="outEnd"/>
          <c:showLegendKey val="0"/>
          <c:showVal val="1"/>
          <c:showCatName val="0"/>
          <c:showSerName val="0"/>
          <c:showPercent val="0"/>
          <c:showBubbleSize val="0"/>
        </c:dLbls>
        <c:gapWidth val="182"/>
        <c:axId val="138262976"/>
        <c:axId val="138270896"/>
      </c:barChart>
      <c:catAx>
        <c:axId val="138262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38270896"/>
        <c:crosses val="autoZero"/>
        <c:auto val="1"/>
        <c:lblAlgn val="ctr"/>
        <c:lblOffset val="100"/>
        <c:noMultiLvlLbl val="0"/>
      </c:catAx>
      <c:valAx>
        <c:axId val="138270896"/>
        <c:scaling>
          <c:orientation val="minMax"/>
        </c:scaling>
        <c:delete val="1"/>
        <c:axPos val="b"/>
        <c:numFmt formatCode="_(* #,##0_);_(* \(#,##0\);_(* &quot;-&quot;??_);_(@_)" sourceLinked="1"/>
        <c:majorTickMark val="none"/>
        <c:minorTickMark val="none"/>
        <c:tickLblPos val="nextTo"/>
        <c:crossAx val="138262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Final Dashboard.xlsx]Pivot Table!PivotTable9</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none"/>
          </c:marker>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_(* #,##0_);_(* \(#,##0\);_(* "-"??_);_(@_)</c:formatCode>
                <c:ptCount val="12"/>
                <c:pt idx="0">
                  <c:v>38391680</c:v>
                </c:pt>
                <c:pt idx="1">
                  <c:v>34850485</c:v>
                </c:pt>
                <c:pt idx="2">
                  <c:v>43556853</c:v>
                </c:pt>
                <c:pt idx="3">
                  <c:v>32203746</c:v>
                </c:pt>
                <c:pt idx="4">
                  <c:v>33224124</c:v>
                </c:pt>
                <c:pt idx="5">
                  <c:v>35803432</c:v>
                </c:pt>
                <c:pt idx="6">
                  <c:v>34448836</c:v>
                </c:pt>
                <c:pt idx="7">
                  <c:v>39413910</c:v>
                </c:pt>
                <c:pt idx="8">
                  <c:v>36278633</c:v>
                </c:pt>
                <c:pt idx="9">
                  <c:v>29612594</c:v>
                </c:pt>
                <c:pt idx="10">
                  <c:v>20959519</c:v>
                </c:pt>
                <c:pt idx="11">
                  <c:v>22910909</c:v>
                </c:pt>
              </c:numCache>
            </c:numRef>
          </c:val>
          <c:smooth val="0"/>
          <c:extLst>
            <c:ext xmlns:c16="http://schemas.microsoft.com/office/drawing/2014/chart" uri="{C3380CC4-5D6E-409C-BE32-E72D297353CC}">
              <c16:uniqueId val="{00000000-8FF0-4C5F-8B5A-37EEA1189BB9}"/>
            </c:ext>
          </c:extLst>
        </c:ser>
        <c:dLbls>
          <c:showLegendKey val="0"/>
          <c:showVal val="0"/>
          <c:showCatName val="0"/>
          <c:showSerName val="0"/>
          <c:showPercent val="0"/>
          <c:showBubbleSize val="0"/>
        </c:dLbls>
        <c:smooth val="0"/>
        <c:axId val="138288536"/>
        <c:axId val="138290336"/>
      </c:lineChart>
      <c:catAx>
        <c:axId val="138288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38290336"/>
        <c:crosses val="autoZero"/>
        <c:auto val="1"/>
        <c:lblAlgn val="ctr"/>
        <c:lblOffset val="100"/>
        <c:noMultiLvlLbl val="0"/>
      </c:catAx>
      <c:valAx>
        <c:axId val="138290336"/>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88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Final Dashboard.xlsx]Pivot Table!PivotTable6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106853525267397E-2"/>
          <c:y val="0.13428389412719433"/>
          <c:w val="0.94378629294946526"/>
          <c:h val="0.71298271491370668"/>
        </c:manualLayout>
      </c:layout>
      <c:barChart>
        <c:barDir val="col"/>
        <c:grouping val="clustered"/>
        <c:varyColors val="0"/>
        <c:ser>
          <c:idx val="0"/>
          <c:order val="0"/>
          <c:tx>
            <c:strRef>
              <c:f>'Pivot Table'!$E$20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Table'!$D$21:$D$25</c:f>
              <c:strCache>
                <c:ptCount val="4"/>
                <c:pt idx="0">
                  <c:v>East</c:v>
                </c:pt>
                <c:pt idx="1">
                  <c:v>North</c:v>
                </c:pt>
                <c:pt idx="2">
                  <c:v>South</c:v>
                </c:pt>
                <c:pt idx="3">
                  <c:v>West</c:v>
                </c:pt>
              </c:strCache>
            </c:strRef>
          </c:cat>
          <c:val>
            <c:numRef>
              <c:f>'Pivot Table'!$E$21:$E$25</c:f>
              <c:numCache>
                <c:formatCode>_(* #,##0_);_(* \(#,##0\);_(* "-"??_);_(@_)</c:formatCode>
                <c:ptCount val="4"/>
                <c:pt idx="0">
                  <c:v>89292060</c:v>
                </c:pt>
                <c:pt idx="1">
                  <c:v>107787425</c:v>
                </c:pt>
                <c:pt idx="2">
                  <c:v>93957587</c:v>
                </c:pt>
                <c:pt idx="3">
                  <c:v>110617649</c:v>
                </c:pt>
              </c:numCache>
            </c:numRef>
          </c:val>
          <c:extLst>
            <c:ext xmlns:c16="http://schemas.microsoft.com/office/drawing/2014/chart" uri="{C3380CC4-5D6E-409C-BE32-E72D297353CC}">
              <c16:uniqueId val="{00000000-0670-4D36-83DD-2F5339A27735}"/>
            </c:ext>
          </c:extLst>
        </c:ser>
        <c:dLbls>
          <c:dLblPos val="outEnd"/>
          <c:showLegendKey val="0"/>
          <c:showVal val="1"/>
          <c:showCatName val="0"/>
          <c:showSerName val="0"/>
          <c:showPercent val="0"/>
          <c:showBubbleSize val="0"/>
        </c:dLbls>
        <c:gapWidth val="219"/>
        <c:overlap val="-27"/>
        <c:axId val="535378832"/>
        <c:axId val="535379192"/>
      </c:barChart>
      <c:catAx>
        <c:axId val="53537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535379192"/>
        <c:crosses val="autoZero"/>
        <c:auto val="1"/>
        <c:lblAlgn val="ctr"/>
        <c:lblOffset val="100"/>
        <c:noMultiLvlLbl val="0"/>
      </c:catAx>
      <c:valAx>
        <c:axId val="535379192"/>
        <c:scaling>
          <c:orientation val="minMax"/>
        </c:scaling>
        <c:delete val="1"/>
        <c:axPos val="l"/>
        <c:numFmt formatCode="_(* #,##0_);_(* \(#,##0\);_(* &quot;-&quot;??_);_(@_)" sourceLinked="1"/>
        <c:majorTickMark val="none"/>
        <c:minorTickMark val="none"/>
        <c:tickLblPos val="nextTo"/>
        <c:crossAx val="53537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Final Dashboard.xlsx]Pivot Table!PivotTable5</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9F-4BEA-AF70-2F41631F45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9F-4BEA-AF70-2F41631F45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C9F-4BEA-AF70-2F41631F4599}"/>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6="http://schemas.microsoft.com/office/drawing/2014/chart" uri="{C3380CC4-5D6E-409C-BE32-E72D297353CC}">
                  <c16:uniqueId val="{00000001-2C9F-4BEA-AF70-2F41631F4599}"/>
                </c:ext>
              </c:extLst>
            </c:dLbl>
            <c:dLbl>
              <c:idx val="1"/>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6="http://schemas.microsoft.com/office/drawing/2014/chart" uri="{C3380CC4-5D6E-409C-BE32-E72D297353CC}">
                  <c16:uniqueId val="{00000003-2C9F-4BEA-AF70-2F41631F4599}"/>
                </c:ext>
              </c:extLst>
            </c:dLbl>
            <c:dLbl>
              <c:idx val="2"/>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6="http://schemas.microsoft.com/office/drawing/2014/chart" uri="{C3380CC4-5D6E-409C-BE32-E72D297353CC}">
                  <c16:uniqueId val="{00000005-2C9F-4BEA-AF70-2F41631F4599}"/>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Table'!$A$29:$A$32</c:f>
              <c:strCache>
                <c:ptCount val="3"/>
                <c:pt idx="0">
                  <c:v>2023</c:v>
                </c:pt>
                <c:pt idx="1">
                  <c:v>2024</c:v>
                </c:pt>
                <c:pt idx="2">
                  <c:v>2025</c:v>
                </c:pt>
              </c:strCache>
            </c:strRef>
          </c:cat>
          <c:val>
            <c:numRef>
              <c:f>'Pivot Table'!$B$29:$B$32</c:f>
              <c:numCache>
                <c:formatCode>0.00%</c:formatCode>
                <c:ptCount val="3"/>
                <c:pt idx="0">
                  <c:v>0.35408436790165354</c:v>
                </c:pt>
                <c:pt idx="1">
                  <c:v>0.36247325224393417</c:v>
                </c:pt>
                <c:pt idx="2">
                  <c:v>0.28344237985441234</c:v>
                </c:pt>
              </c:numCache>
            </c:numRef>
          </c:val>
          <c:extLst>
            <c:ext xmlns:c16="http://schemas.microsoft.com/office/drawing/2014/chart" uri="{C3380CC4-5D6E-409C-BE32-E72D297353CC}">
              <c16:uniqueId val="{00000006-2C9F-4BEA-AF70-2F41631F4599}"/>
            </c:ext>
          </c:extLst>
        </c:ser>
        <c:dLbls>
          <c:showLegendKey val="0"/>
          <c:showVal val="1"/>
          <c:showCatName val="0"/>
          <c:showSerName val="0"/>
          <c:showPercent val="0"/>
          <c:showBubbleSize val="0"/>
          <c:showLeaderLines val="1"/>
        </c:dLbls>
        <c:firstSliceAng val="0"/>
        <c:holeSize val="5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Final Dashboard.xlsx]Pivot Table!PivotTable1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Table'!$J$25:$J$28</c:f>
              <c:strCache>
                <c:ptCount val="3"/>
                <c:pt idx="0">
                  <c:v>Jayesh</c:v>
                </c:pt>
                <c:pt idx="1">
                  <c:v>Kamlesh</c:v>
                </c:pt>
                <c:pt idx="2">
                  <c:v>Krishna</c:v>
                </c:pt>
              </c:strCache>
            </c:strRef>
          </c:cat>
          <c:val>
            <c:numRef>
              <c:f>'Pivot Table'!$K$25:$K$28</c:f>
              <c:numCache>
                <c:formatCode>_(* #,##0_);_(* \(#,##0\);_(* "-"??_);_(@_)</c:formatCode>
                <c:ptCount val="3"/>
                <c:pt idx="0">
                  <c:v>808</c:v>
                </c:pt>
                <c:pt idx="1">
                  <c:v>861</c:v>
                </c:pt>
                <c:pt idx="2">
                  <c:v>898</c:v>
                </c:pt>
              </c:numCache>
            </c:numRef>
          </c:val>
          <c:extLst>
            <c:ext xmlns:c16="http://schemas.microsoft.com/office/drawing/2014/chart" uri="{C3380CC4-5D6E-409C-BE32-E72D297353CC}">
              <c16:uniqueId val="{00000001-D6F9-4FA0-96F1-9796DF876CAF}"/>
            </c:ext>
          </c:extLst>
        </c:ser>
        <c:dLbls>
          <c:showLegendKey val="0"/>
          <c:showVal val="0"/>
          <c:showCatName val="0"/>
          <c:showSerName val="0"/>
          <c:showPercent val="0"/>
          <c:showBubbleSize val="0"/>
        </c:dLbls>
        <c:gapWidth val="182"/>
        <c:axId val="663248672"/>
        <c:axId val="663249032"/>
      </c:barChart>
      <c:catAx>
        <c:axId val="663248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63249032"/>
        <c:crosses val="autoZero"/>
        <c:auto val="1"/>
        <c:lblAlgn val="ctr"/>
        <c:lblOffset val="100"/>
        <c:noMultiLvlLbl val="0"/>
      </c:catAx>
      <c:valAx>
        <c:axId val="663249032"/>
        <c:scaling>
          <c:orientation val="minMax"/>
        </c:scaling>
        <c:delete val="1"/>
        <c:axPos val="b"/>
        <c:numFmt formatCode="_(* #,##0_);_(* \(#,##0\);_(* &quot;-&quot;??_);_(@_)" sourceLinked="1"/>
        <c:majorTickMark val="none"/>
        <c:minorTickMark val="none"/>
        <c:tickLblPos val="nextTo"/>
        <c:crossAx val="663248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Final Dashboard.xlsx]Pivot Table!PivotTable2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01783100155711"/>
          <c:y val="0"/>
          <c:w val="0.82477518808275851"/>
          <c:h val="0.84259261345838787"/>
        </c:manualLayout>
      </c:layout>
      <c:barChart>
        <c:barDir val="bar"/>
        <c:grouping val="clustered"/>
        <c:varyColors val="0"/>
        <c:ser>
          <c:idx val="0"/>
          <c:order val="0"/>
          <c:tx>
            <c:strRef>
              <c:f>'Pivot Table'!$K$32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Table'!$J$33:$J$36</c:f>
              <c:strCache>
                <c:ptCount val="3"/>
                <c:pt idx="0">
                  <c:v>Namita</c:v>
                </c:pt>
                <c:pt idx="1">
                  <c:v>Shubham</c:v>
                </c:pt>
                <c:pt idx="2">
                  <c:v>Amit</c:v>
                </c:pt>
              </c:strCache>
            </c:strRef>
          </c:cat>
          <c:val>
            <c:numRef>
              <c:f>'Pivot Table'!$K$33:$K$36</c:f>
              <c:numCache>
                <c:formatCode>_(* #,##0_);_(* \(#,##0\);_(* "-"??_);_(@_)</c:formatCode>
                <c:ptCount val="3"/>
                <c:pt idx="0">
                  <c:v>209</c:v>
                </c:pt>
                <c:pt idx="1">
                  <c:v>263</c:v>
                </c:pt>
                <c:pt idx="2">
                  <c:v>374</c:v>
                </c:pt>
              </c:numCache>
            </c:numRef>
          </c:val>
          <c:extLst>
            <c:ext xmlns:c16="http://schemas.microsoft.com/office/drawing/2014/chart" uri="{C3380CC4-5D6E-409C-BE32-E72D297353CC}">
              <c16:uniqueId val="{00000000-22B9-414C-8CE9-5277DA4229A7}"/>
            </c:ext>
          </c:extLst>
        </c:ser>
        <c:dLbls>
          <c:dLblPos val="outEnd"/>
          <c:showLegendKey val="0"/>
          <c:showVal val="1"/>
          <c:showCatName val="0"/>
          <c:showSerName val="0"/>
          <c:showPercent val="0"/>
          <c:showBubbleSize val="0"/>
        </c:dLbls>
        <c:gapWidth val="182"/>
        <c:axId val="590848320"/>
        <c:axId val="590845440"/>
      </c:barChart>
      <c:catAx>
        <c:axId val="590848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590845440"/>
        <c:crosses val="autoZero"/>
        <c:auto val="1"/>
        <c:lblAlgn val="ctr"/>
        <c:lblOffset val="100"/>
        <c:noMultiLvlLbl val="0"/>
      </c:catAx>
      <c:valAx>
        <c:axId val="590845440"/>
        <c:scaling>
          <c:orientation val="minMax"/>
        </c:scaling>
        <c:delete val="1"/>
        <c:axPos val="b"/>
        <c:numFmt formatCode="_(* #,##0_);_(* \(#,##0\);_(* &quot;-&quot;??_);_(@_)" sourceLinked="1"/>
        <c:majorTickMark val="none"/>
        <c:minorTickMark val="none"/>
        <c:tickLblPos val="nextTo"/>
        <c:crossAx val="59084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Final Dashboard.xlsx]Pivot Table!PivotTable14</c:name>
    <c:fmtId val="5"/>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26205123981773643"/>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5710833695039548E-3"/>
              <c:y val="-0.27979299290637177"/>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5710833695039548E-3"/>
              <c:y val="-0.26509162961697363"/>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5.1421667390079097E-3"/>
              <c:y val="-0.22704527212318404"/>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0.13784667634445213"/>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5.1421667390079097E-3"/>
              <c:y val="-0.1136403305525065"/>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
              <c:y val="-0.26460763791151587"/>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5710833695039548E-3"/>
              <c:y val="-0.25230840996279258"/>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
              <c:y val="-0.15710217110996669"/>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5.1421667390079097E-3"/>
              <c:y val="-0.22989698198137296"/>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
              <c:y val="-0.12974450154692968"/>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7.7132501085118649E-3"/>
              <c:y val="-0.2920854603360347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9.4271967843994611E-17"/>
              <c:y val="-0.21252582825577379"/>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5.1421667390079097E-3"/>
              <c:y val="-0.31160861019707525"/>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
              <c:y val="-0.34649196665957838"/>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44857995219E-2"/>
          <c:y val="4.292929603329617E-2"/>
          <c:w val="0.9562010886817266"/>
          <c:h val="0.74817312337209774"/>
        </c:manualLayout>
      </c:layout>
      <c:barChart>
        <c:barDir val="col"/>
        <c:grouping val="stacked"/>
        <c:varyColors val="0"/>
        <c:ser>
          <c:idx val="0"/>
          <c:order val="0"/>
          <c:tx>
            <c:strRef>
              <c:f>'Pivot Table'!$K$3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9-F531-4B3B-84A7-41F400DB5837}"/>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8-F531-4B3B-84A7-41F400DB5837}"/>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A-F531-4B3B-84A7-41F400DB5837}"/>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B-F531-4B3B-84A7-41F400DB5837}"/>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C-F531-4B3B-84A7-41F400DB5837}"/>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E-F531-4B3B-84A7-41F400DB5837}"/>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F-F531-4B3B-84A7-41F400DB5837}"/>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1-F531-4B3B-84A7-41F400DB5837}"/>
              </c:ext>
            </c:extLst>
          </c:dPt>
          <c:dPt>
            <c:idx val="9"/>
            <c:invertIfNegative val="0"/>
            <c:bubble3D val="0"/>
            <c:spPr>
              <a:solidFill>
                <a:schemeClr val="accent1"/>
              </a:solidFill>
              <a:ln>
                <a:noFill/>
              </a:ln>
              <a:effectLst/>
            </c:spPr>
            <c:extLst>
              <c:ext xmlns:c16="http://schemas.microsoft.com/office/drawing/2014/chart" uri="{C3380CC4-5D6E-409C-BE32-E72D297353CC}">
                <c16:uniqueId val="{00000006-F531-4B3B-84A7-41F400DB5837}"/>
              </c:ext>
            </c:extLst>
          </c:dPt>
          <c:dPt>
            <c:idx val="10"/>
            <c:invertIfNegative val="0"/>
            <c:bubble3D val="0"/>
            <c:spPr>
              <a:solidFill>
                <a:schemeClr val="accent1"/>
              </a:solidFill>
              <a:ln>
                <a:noFill/>
              </a:ln>
              <a:effectLst/>
            </c:spPr>
            <c:extLst>
              <c:ext xmlns:c16="http://schemas.microsoft.com/office/drawing/2014/chart" uri="{C3380CC4-5D6E-409C-BE32-E72D297353CC}">
                <c16:uniqueId val="{00000007-F531-4B3B-84A7-41F400DB5837}"/>
              </c:ext>
            </c:extLst>
          </c:dPt>
          <c:dPt>
            <c:idx val="11"/>
            <c:invertIfNegative val="0"/>
            <c:bubble3D val="0"/>
            <c:spPr>
              <a:solidFill>
                <a:schemeClr val="accent1"/>
              </a:solidFill>
              <a:ln>
                <a:noFill/>
              </a:ln>
              <a:effectLst/>
            </c:spPr>
            <c:extLst>
              <c:ext xmlns:c16="http://schemas.microsoft.com/office/drawing/2014/chart" uri="{C3380CC4-5D6E-409C-BE32-E72D297353CC}">
                <c16:uniqueId val="{0000000D-F531-4B3B-84A7-41F400DB5837}"/>
              </c:ext>
            </c:extLst>
          </c:dPt>
          <c:dPt>
            <c:idx val="12"/>
            <c:invertIfNegative val="0"/>
            <c:bubble3D val="0"/>
            <c:spPr>
              <a:solidFill>
                <a:schemeClr val="accent1"/>
              </a:solidFill>
              <a:ln>
                <a:noFill/>
              </a:ln>
              <a:effectLst/>
            </c:spPr>
            <c:extLst>
              <c:ext xmlns:c16="http://schemas.microsoft.com/office/drawing/2014/chart" uri="{C3380CC4-5D6E-409C-BE32-E72D297353CC}">
                <c16:uniqueId val="{00000002-F531-4B3B-84A7-41F400DB5837}"/>
              </c:ext>
            </c:extLst>
          </c:dPt>
          <c:dPt>
            <c:idx val="13"/>
            <c:invertIfNegative val="0"/>
            <c:bubble3D val="0"/>
            <c:spPr>
              <a:solidFill>
                <a:schemeClr val="accent1"/>
              </a:solidFill>
              <a:ln>
                <a:noFill/>
              </a:ln>
              <a:effectLst/>
            </c:spPr>
            <c:extLst>
              <c:ext xmlns:c16="http://schemas.microsoft.com/office/drawing/2014/chart" uri="{C3380CC4-5D6E-409C-BE32-E72D297353CC}">
                <c16:uniqueId val="{00000005-F531-4B3B-84A7-41F400DB5837}"/>
              </c:ext>
            </c:extLst>
          </c:dPt>
          <c:dPt>
            <c:idx val="14"/>
            <c:invertIfNegative val="0"/>
            <c:bubble3D val="0"/>
            <c:spPr>
              <a:solidFill>
                <a:schemeClr val="accent1"/>
              </a:solidFill>
              <a:ln>
                <a:noFill/>
              </a:ln>
              <a:effectLst/>
            </c:spPr>
            <c:extLst>
              <c:ext xmlns:c16="http://schemas.microsoft.com/office/drawing/2014/chart" uri="{C3380CC4-5D6E-409C-BE32-E72D297353CC}">
                <c16:uniqueId val="{00000003-F531-4B3B-84A7-41F400DB5837}"/>
              </c:ext>
            </c:extLst>
          </c:dPt>
          <c:dPt>
            <c:idx val="15"/>
            <c:invertIfNegative val="0"/>
            <c:bubble3D val="0"/>
            <c:spPr>
              <a:solidFill>
                <a:schemeClr val="accent1"/>
              </a:solidFill>
              <a:ln>
                <a:noFill/>
              </a:ln>
              <a:effectLst/>
            </c:spPr>
            <c:extLst>
              <c:ext xmlns:c16="http://schemas.microsoft.com/office/drawing/2014/chart" uri="{C3380CC4-5D6E-409C-BE32-E72D297353CC}">
                <c16:uniqueId val="{00000004-F531-4B3B-84A7-41F400DB5837}"/>
              </c:ext>
            </c:extLst>
          </c:dPt>
          <c:dLbls>
            <c:dLbl>
              <c:idx val="0"/>
              <c:layout>
                <c:manualLayout>
                  <c:x val="0"/>
                  <c:y val="-0.1571021711099666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531-4B3B-84A7-41F400DB5837}"/>
                </c:ext>
              </c:extLst>
            </c:dLbl>
            <c:dLbl>
              <c:idx val="1"/>
              <c:layout>
                <c:manualLayout>
                  <c:x val="2.5710833695039548E-3"/>
                  <c:y val="-0.2523084099627925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531-4B3B-84A7-41F400DB5837}"/>
                </c:ext>
              </c:extLst>
            </c:dLbl>
            <c:dLbl>
              <c:idx val="2"/>
              <c:layout>
                <c:manualLayout>
                  <c:x val="5.1421667390079097E-3"/>
                  <c:y val="-0.2298969819813729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531-4B3B-84A7-41F400DB5837}"/>
                </c:ext>
              </c:extLst>
            </c:dLbl>
            <c:dLbl>
              <c:idx val="3"/>
              <c:layout>
                <c:manualLayout>
                  <c:x val="0"/>
                  <c:y val="-0.1297445015469296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531-4B3B-84A7-41F400DB5837}"/>
                </c:ext>
              </c:extLst>
            </c:dLbl>
            <c:dLbl>
              <c:idx val="4"/>
              <c:layout>
                <c:manualLayout>
                  <c:x val="-7.7132501085118649E-3"/>
                  <c:y val="-0.2920854603360347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531-4B3B-84A7-41F400DB5837}"/>
                </c:ext>
              </c:extLst>
            </c:dLbl>
            <c:dLbl>
              <c:idx val="6"/>
              <c:layout>
                <c:manualLayout>
                  <c:x val="-5.1421667390079097E-3"/>
                  <c:y val="-0.3116086101970752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531-4B3B-84A7-41F400DB5837}"/>
                </c:ext>
              </c:extLst>
            </c:dLbl>
            <c:dLbl>
              <c:idx val="7"/>
              <c:layout>
                <c:manualLayout>
                  <c:x val="0"/>
                  <c:y val="-0.3464919666595783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531-4B3B-84A7-41F400DB5837}"/>
                </c:ext>
              </c:extLst>
            </c:dLbl>
            <c:dLbl>
              <c:idx val="8"/>
              <c:layout>
                <c:manualLayout>
                  <c:x val="0"/>
                  <c:y val="-0.2620512398177364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531-4B3B-84A7-41F400DB5837}"/>
                </c:ext>
              </c:extLst>
            </c:dLbl>
            <c:dLbl>
              <c:idx val="9"/>
              <c:layout>
                <c:manualLayout>
                  <c:x val="5.1421667390079097E-3"/>
                  <c:y val="-0.113640330552506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531-4B3B-84A7-41F400DB5837}"/>
                </c:ext>
              </c:extLst>
            </c:dLbl>
            <c:dLbl>
              <c:idx val="10"/>
              <c:layout>
                <c:manualLayout>
                  <c:x val="0"/>
                  <c:y val="-0.2646076379115158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531-4B3B-84A7-41F400DB5837}"/>
                </c:ext>
              </c:extLst>
            </c:dLbl>
            <c:dLbl>
              <c:idx val="11"/>
              <c:layout>
                <c:manualLayout>
                  <c:x val="-9.4271967843994611E-17"/>
                  <c:y val="-0.2125258282557737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531-4B3B-84A7-41F400DB5837}"/>
                </c:ext>
              </c:extLst>
            </c:dLbl>
            <c:dLbl>
              <c:idx val="12"/>
              <c:layout>
                <c:manualLayout>
                  <c:x val="2.5710833695039548E-3"/>
                  <c:y val="-0.2797929929063717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531-4B3B-84A7-41F400DB5837}"/>
                </c:ext>
              </c:extLst>
            </c:dLbl>
            <c:dLbl>
              <c:idx val="13"/>
              <c:layout>
                <c:manualLayout>
                  <c:x val="0"/>
                  <c:y val="-0.1378466763444521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531-4B3B-84A7-41F400DB5837}"/>
                </c:ext>
              </c:extLst>
            </c:dLbl>
            <c:dLbl>
              <c:idx val="14"/>
              <c:layout>
                <c:manualLayout>
                  <c:x val="2.5710833695039548E-3"/>
                  <c:y val="-0.2650916296169736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531-4B3B-84A7-41F400DB5837}"/>
                </c:ext>
              </c:extLst>
            </c:dLbl>
            <c:dLbl>
              <c:idx val="15"/>
              <c:layout>
                <c:manualLayout>
                  <c:x val="5.1421667390079097E-3"/>
                  <c:y val="-0.2270452721231840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531-4B3B-84A7-41F400DB5837}"/>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Table'!$J$4:$J$20</c:f>
              <c:strCache>
                <c:ptCount val="16"/>
                <c:pt idx="0">
                  <c:v>Rahul</c:v>
                </c:pt>
                <c:pt idx="1">
                  <c:v>Suraj</c:v>
                </c:pt>
                <c:pt idx="2">
                  <c:v>Akash</c:v>
                </c:pt>
                <c:pt idx="3">
                  <c:v>Amit</c:v>
                </c:pt>
                <c:pt idx="4">
                  <c:v>Ankita</c:v>
                </c:pt>
                <c:pt idx="5">
                  <c:v>Jayesh</c:v>
                </c:pt>
                <c:pt idx="6">
                  <c:v>Kamlesh</c:v>
                </c:pt>
                <c:pt idx="7">
                  <c:v>Krishna</c:v>
                </c:pt>
                <c:pt idx="8">
                  <c:v>Mehul</c:v>
                </c:pt>
                <c:pt idx="9">
                  <c:v>Namita</c:v>
                </c:pt>
                <c:pt idx="10">
                  <c:v>Riya</c:v>
                </c:pt>
                <c:pt idx="11">
                  <c:v>Ronak</c:v>
                </c:pt>
                <c:pt idx="12">
                  <c:v>Ruchita</c:v>
                </c:pt>
                <c:pt idx="13">
                  <c:v>Shubham</c:v>
                </c:pt>
                <c:pt idx="14">
                  <c:v>Sneha</c:v>
                </c:pt>
                <c:pt idx="15">
                  <c:v>Vineet</c:v>
                </c:pt>
              </c:strCache>
            </c:strRef>
          </c:cat>
          <c:val>
            <c:numRef>
              <c:f>'Pivot Table'!$K$4:$K$20</c:f>
              <c:numCache>
                <c:formatCode>_(* #,##0_);_(* \(#,##0\);_(* "-"??_);_(@_)</c:formatCode>
                <c:ptCount val="16"/>
                <c:pt idx="0">
                  <c:v>15713006</c:v>
                </c:pt>
                <c:pt idx="1">
                  <c:v>28104552</c:v>
                </c:pt>
                <c:pt idx="2">
                  <c:v>24939162</c:v>
                </c:pt>
                <c:pt idx="3">
                  <c:v>13360967</c:v>
                </c:pt>
                <c:pt idx="4">
                  <c:v>33692098</c:v>
                </c:pt>
                <c:pt idx="5">
                  <c:v>32471098</c:v>
                </c:pt>
                <c:pt idx="6">
                  <c:v>34768517</c:v>
                </c:pt>
                <c:pt idx="7">
                  <c:v>35274772</c:v>
                </c:pt>
                <c:pt idx="8">
                  <c:v>27868159</c:v>
                </c:pt>
                <c:pt idx="9">
                  <c:v>9545921</c:v>
                </c:pt>
                <c:pt idx="10">
                  <c:v>29936946</c:v>
                </c:pt>
                <c:pt idx="11">
                  <c:v>22849541</c:v>
                </c:pt>
                <c:pt idx="12">
                  <c:v>30189516</c:v>
                </c:pt>
                <c:pt idx="13">
                  <c:v>11988300</c:v>
                </c:pt>
                <c:pt idx="14">
                  <c:v>28233895</c:v>
                </c:pt>
                <c:pt idx="15">
                  <c:v>22718271</c:v>
                </c:pt>
              </c:numCache>
            </c:numRef>
          </c:val>
          <c:extLst>
            <c:ext xmlns:c16="http://schemas.microsoft.com/office/drawing/2014/chart" uri="{C3380CC4-5D6E-409C-BE32-E72D297353CC}">
              <c16:uniqueId val="{00000000-F531-4B3B-84A7-41F400DB5837}"/>
            </c:ext>
          </c:extLst>
        </c:ser>
        <c:dLbls>
          <c:showLegendKey val="0"/>
          <c:showVal val="0"/>
          <c:showCatName val="0"/>
          <c:showSerName val="0"/>
          <c:showPercent val="0"/>
          <c:showBubbleSize val="0"/>
        </c:dLbls>
        <c:gapWidth val="112"/>
        <c:overlap val="100"/>
        <c:axId val="595403912"/>
        <c:axId val="590847960"/>
      </c:barChart>
      <c:catAx>
        <c:axId val="595403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590847960"/>
        <c:crosses val="autoZero"/>
        <c:auto val="1"/>
        <c:lblAlgn val="ctr"/>
        <c:lblOffset val="100"/>
        <c:noMultiLvlLbl val="0"/>
      </c:catAx>
      <c:valAx>
        <c:axId val="590847960"/>
        <c:scaling>
          <c:orientation val="minMax"/>
        </c:scaling>
        <c:delete val="1"/>
        <c:axPos val="l"/>
        <c:numFmt formatCode="_(* #,##0_);_(* \(#,##0\);_(* &quot;-&quot;??_);_(@_)" sourceLinked="1"/>
        <c:majorTickMark val="none"/>
        <c:minorTickMark val="none"/>
        <c:tickLblPos val="nextTo"/>
        <c:crossAx val="595403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Final Dashboard.xlsx]Pivot Table!PivotTable4</c:name>
    <c:fmtId val="3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pivotFmt>
    </c:pivotFmts>
    <c:plotArea>
      <c:layout>
        <c:manualLayout>
          <c:layoutTarget val="inner"/>
          <c:xMode val="edge"/>
          <c:yMode val="edge"/>
          <c:x val="8.8109774240311106E-2"/>
          <c:y val="6.9012816879642197E-2"/>
          <c:w val="0.8874381957697357"/>
          <c:h val="0.67554062221004041"/>
        </c:manualLayout>
      </c:layout>
      <c:lineChart>
        <c:grouping val="standard"/>
        <c:varyColors val="0"/>
        <c:ser>
          <c:idx val="0"/>
          <c:order val="0"/>
          <c:tx>
            <c:strRef>
              <c:f>'Pivot Table'!$C$49:$C$50</c:f>
              <c:strCache>
                <c:ptCount val="1"/>
                <c:pt idx="0">
                  <c:v>East</c:v>
                </c:pt>
              </c:strCache>
            </c:strRef>
          </c:tx>
          <c:spPr>
            <a:ln w="28575" cap="rnd">
              <a:solidFill>
                <a:schemeClr val="accent1"/>
              </a:solidFill>
              <a:round/>
            </a:ln>
            <a:effectLst/>
          </c:spPr>
          <c:marker>
            <c:symbol val="none"/>
          </c:marker>
          <c:cat>
            <c:strRef>
              <c:f>'Pivot Table'!$B$51:$B$67</c:f>
              <c:strCache>
                <c:ptCount val="16"/>
                <c:pt idx="0">
                  <c:v>Rahul</c:v>
                </c:pt>
                <c:pt idx="1">
                  <c:v>Suraj</c:v>
                </c:pt>
                <c:pt idx="2">
                  <c:v>Akash</c:v>
                </c:pt>
                <c:pt idx="3">
                  <c:v>Amit</c:v>
                </c:pt>
                <c:pt idx="4">
                  <c:v>Ankita</c:v>
                </c:pt>
                <c:pt idx="5">
                  <c:v>Jayesh</c:v>
                </c:pt>
                <c:pt idx="6">
                  <c:v>Kamlesh</c:v>
                </c:pt>
                <c:pt idx="7">
                  <c:v>Krishna</c:v>
                </c:pt>
                <c:pt idx="8">
                  <c:v>Mehul</c:v>
                </c:pt>
                <c:pt idx="9">
                  <c:v>Namita</c:v>
                </c:pt>
                <c:pt idx="10">
                  <c:v>Riya</c:v>
                </c:pt>
                <c:pt idx="11">
                  <c:v>Ronak</c:v>
                </c:pt>
                <c:pt idx="12">
                  <c:v>Ruchita</c:v>
                </c:pt>
                <c:pt idx="13">
                  <c:v>Shubham</c:v>
                </c:pt>
                <c:pt idx="14">
                  <c:v>Sneha</c:v>
                </c:pt>
                <c:pt idx="15">
                  <c:v>Vineet</c:v>
                </c:pt>
              </c:strCache>
            </c:strRef>
          </c:cat>
          <c:val>
            <c:numRef>
              <c:f>'Pivot Table'!$C$51:$C$67</c:f>
              <c:numCache>
                <c:formatCode>0.00%</c:formatCode>
                <c:ptCount val="16"/>
                <c:pt idx="0">
                  <c:v>1.2E-2</c:v>
                </c:pt>
                <c:pt idx="1">
                  <c:v>1.4E-2</c:v>
                </c:pt>
                <c:pt idx="2">
                  <c:v>1.9E-2</c:v>
                </c:pt>
                <c:pt idx="3">
                  <c:v>1.0999999999999999E-2</c:v>
                </c:pt>
                <c:pt idx="4">
                  <c:v>1.4999999999999999E-2</c:v>
                </c:pt>
                <c:pt idx="5">
                  <c:v>1.7000000000000001E-2</c:v>
                </c:pt>
                <c:pt idx="6">
                  <c:v>2.4E-2</c:v>
                </c:pt>
                <c:pt idx="7">
                  <c:v>2.4E-2</c:v>
                </c:pt>
                <c:pt idx="8">
                  <c:v>1.0999999999999999E-2</c:v>
                </c:pt>
                <c:pt idx="9">
                  <c:v>4.0000000000000001E-3</c:v>
                </c:pt>
                <c:pt idx="10">
                  <c:v>1.4999999999999999E-2</c:v>
                </c:pt>
                <c:pt idx="11">
                  <c:v>1.0999999999999999E-2</c:v>
                </c:pt>
                <c:pt idx="12">
                  <c:v>1.0999999999999999E-2</c:v>
                </c:pt>
                <c:pt idx="13">
                  <c:v>6.0000000000000001E-3</c:v>
                </c:pt>
                <c:pt idx="14">
                  <c:v>2.1000000000000001E-2</c:v>
                </c:pt>
                <c:pt idx="15">
                  <c:v>1.7000000000000001E-2</c:v>
                </c:pt>
              </c:numCache>
            </c:numRef>
          </c:val>
          <c:smooth val="0"/>
          <c:extLst>
            <c:ext xmlns:c16="http://schemas.microsoft.com/office/drawing/2014/chart" uri="{C3380CC4-5D6E-409C-BE32-E72D297353CC}">
              <c16:uniqueId val="{00000000-BE48-463E-9071-76A023A89F35}"/>
            </c:ext>
          </c:extLst>
        </c:ser>
        <c:ser>
          <c:idx val="1"/>
          <c:order val="1"/>
          <c:tx>
            <c:strRef>
              <c:f>'Pivot Table'!$D$49:$D$50</c:f>
              <c:strCache>
                <c:ptCount val="1"/>
                <c:pt idx="0">
                  <c:v>North</c:v>
                </c:pt>
              </c:strCache>
            </c:strRef>
          </c:tx>
          <c:spPr>
            <a:ln w="28575" cap="rnd">
              <a:solidFill>
                <a:schemeClr val="accent2"/>
              </a:solidFill>
              <a:round/>
            </a:ln>
            <a:effectLst/>
          </c:spPr>
          <c:marker>
            <c:symbol val="none"/>
          </c:marker>
          <c:cat>
            <c:strRef>
              <c:f>'Pivot Table'!$B$51:$B$67</c:f>
              <c:strCache>
                <c:ptCount val="16"/>
                <c:pt idx="0">
                  <c:v>Rahul</c:v>
                </c:pt>
                <c:pt idx="1">
                  <c:v>Suraj</c:v>
                </c:pt>
                <c:pt idx="2">
                  <c:v>Akash</c:v>
                </c:pt>
                <c:pt idx="3">
                  <c:v>Amit</c:v>
                </c:pt>
                <c:pt idx="4">
                  <c:v>Ankita</c:v>
                </c:pt>
                <c:pt idx="5">
                  <c:v>Jayesh</c:v>
                </c:pt>
                <c:pt idx="6">
                  <c:v>Kamlesh</c:v>
                </c:pt>
                <c:pt idx="7">
                  <c:v>Krishna</c:v>
                </c:pt>
                <c:pt idx="8">
                  <c:v>Mehul</c:v>
                </c:pt>
                <c:pt idx="9">
                  <c:v>Namita</c:v>
                </c:pt>
                <c:pt idx="10">
                  <c:v>Riya</c:v>
                </c:pt>
                <c:pt idx="11">
                  <c:v>Ronak</c:v>
                </c:pt>
                <c:pt idx="12">
                  <c:v>Ruchita</c:v>
                </c:pt>
                <c:pt idx="13">
                  <c:v>Shubham</c:v>
                </c:pt>
                <c:pt idx="14">
                  <c:v>Sneha</c:v>
                </c:pt>
                <c:pt idx="15">
                  <c:v>Vineet</c:v>
                </c:pt>
              </c:strCache>
            </c:strRef>
          </c:cat>
          <c:val>
            <c:numRef>
              <c:f>'Pivot Table'!$D$51:$D$67</c:f>
              <c:numCache>
                <c:formatCode>0.00%</c:formatCode>
                <c:ptCount val="16"/>
                <c:pt idx="0">
                  <c:v>0.01</c:v>
                </c:pt>
                <c:pt idx="1">
                  <c:v>0.02</c:v>
                </c:pt>
                <c:pt idx="2">
                  <c:v>1.7999999999999999E-2</c:v>
                </c:pt>
                <c:pt idx="3">
                  <c:v>7.0000000000000001E-3</c:v>
                </c:pt>
                <c:pt idx="4">
                  <c:v>2.8000000000000001E-2</c:v>
                </c:pt>
                <c:pt idx="5">
                  <c:v>1.7999999999999999E-2</c:v>
                </c:pt>
                <c:pt idx="6">
                  <c:v>1.4E-2</c:v>
                </c:pt>
                <c:pt idx="7">
                  <c:v>2.1999999999999999E-2</c:v>
                </c:pt>
                <c:pt idx="8">
                  <c:v>1.7000000000000001E-2</c:v>
                </c:pt>
                <c:pt idx="9">
                  <c:v>7.0000000000000001E-3</c:v>
                </c:pt>
                <c:pt idx="10">
                  <c:v>2.1999999999999999E-2</c:v>
                </c:pt>
                <c:pt idx="11">
                  <c:v>1.6E-2</c:v>
                </c:pt>
                <c:pt idx="12">
                  <c:v>2.5000000000000001E-2</c:v>
                </c:pt>
                <c:pt idx="13">
                  <c:v>8.0000000000000002E-3</c:v>
                </c:pt>
                <c:pt idx="14">
                  <c:v>1.4999999999999999E-2</c:v>
                </c:pt>
                <c:pt idx="15">
                  <c:v>1.0999999999999999E-2</c:v>
                </c:pt>
              </c:numCache>
            </c:numRef>
          </c:val>
          <c:smooth val="0"/>
          <c:extLst>
            <c:ext xmlns:c16="http://schemas.microsoft.com/office/drawing/2014/chart" uri="{C3380CC4-5D6E-409C-BE32-E72D297353CC}">
              <c16:uniqueId val="{00000016-A12D-45BC-BA36-7BDC311B7018}"/>
            </c:ext>
          </c:extLst>
        </c:ser>
        <c:ser>
          <c:idx val="2"/>
          <c:order val="2"/>
          <c:tx>
            <c:strRef>
              <c:f>'Pivot Table'!$E$49:$E$50</c:f>
              <c:strCache>
                <c:ptCount val="1"/>
                <c:pt idx="0">
                  <c:v>South</c:v>
                </c:pt>
              </c:strCache>
            </c:strRef>
          </c:tx>
          <c:spPr>
            <a:ln w="28575" cap="rnd">
              <a:solidFill>
                <a:schemeClr val="accent3"/>
              </a:solidFill>
              <a:round/>
            </a:ln>
            <a:effectLst/>
          </c:spPr>
          <c:marker>
            <c:symbol val="none"/>
          </c:marker>
          <c:cat>
            <c:strRef>
              <c:f>'Pivot Table'!$B$51:$B$67</c:f>
              <c:strCache>
                <c:ptCount val="16"/>
                <c:pt idx="0">
                  <c:v>Rahul</c:v>
                </c:pt>
                <c:pt idx="1">
                  <c:v>Suraj</c:v>
                </c:pt>
                <c:pt idx="2">
                  <c:v>Akash</c:v>
                </c:pt>
                <c:pt idx="3">
                  <c:v>Amit</c:v>
                </c:pt>
                <c:pt idx="4">
                  <c:v>Ankita</c:v>
                </c:pt>
                <c:pt idx="5">
                  <c:v>Jayesh</c:v>
                </c:pt>
                <c:pt idx="6">
                  <c:v>Kamlesh</c:v>
                </c:pt>
                <c:pt idx="7">
                  <c:v>Krishna</c:v>
                </c:pt>
                <c:pt idx="8">
                  <c:v>Mehul</c:v>
                </c:pt>
                <c:pt idx="9">
                  <c:v>Namita</c:v>
                </c:pt>
                <c:pt idx="10">
                  <c:v>Riya</c:v>
                </c:pt>
                <c:pt idx="11">
                  <c:v>Ronak</c:v>
                </c:pt>
                <c:pt idx="12">
                  <c:v>Ruchita</c:v>
                </c:pt>
                <c:pt idx="13">
                  <c:v>Shubham</c:v>
                </c:pt>
                <c:pt idx="14">
                  <c:v>Sneha</c:v>
                </c:pt>
                <c:pt idx="15">
                  <c:v>Vineet</c:v>
                </c:pt>
              </c:strCache>
            </c:strRef>
          </c:cat>
          <c:val>
            <c:numRef>
              <c:f>'Pivot Table'!$E$51:$E$67</c:f>
              <c:numCache>
                <c:formatCode>0.00%</c:formatCode>
                <c:ptCount val="16"/>
                <c:pt idx="0">
                  <c:v>1.4E-2</c:v>
                </c:pt>
                <c:pt idx="1">
                  <c:v>1.7000000000000001E-2</c:v>
                </c:pt>
                <c:pt idx="2">
                  <c:v>0.01</c:v>
                </c:pt>
                <c:pt idx="3">
                  <c:v>6.0000000000000001E-3</c:v>
                </c:pt>
                <c:pt idx="4">
                  <c:v>1.7999999999999999E-2</c:v>
                </c:pt>
                <c:pt idx="5">
                  <c:v>1.6E-2</c:v>
                </c:pt>
                <c:pt idx="6">
                  <c:v>1.7999999999999999E-2</c:v>
                </c:pt>
                <c:pt idx="7">
                  <c:v>2.5999999999999999E-2</c:v>
                </c:pt>
                <c:pt idx="8">
                  <c:v>1.6E-2</c:v>
                </c:pt>
                <c:pt idx="9">
                  <c:v>3.0000000000000001E-3</c:v>
                </c:pt>
                <c:pt idx="10">
                  <c:v>2.1000000000000001E-2</c:v>
                </c:pt>
                <c:pt idx="11">
                  <c:v>1.4E-2</c:v>
                </c:pt>
                <c:pt idx="12">
                  <c:v>1.0999999999999999E-2</c:v>
                </c:pt>
                <c:pt idx="13">
                  <c:v>8.0000000000000002E-3</c:v>
                </c:pt>
                <c:pt idx="14">
                  <c:v>1.7000000000000001E-2</c:v>
                </c:pt>
                <c:pt idx="15">
                  <c:v>1.4999999999999999E-2</c:v>
                </c:pt>
              </c:numCache>
            </c:numRef>
          </c:val>
          <c:smooth val="0"/>
          <c:extLst>
            <c:ext xmlns:c16="http://schemas.microsoft.com/office/drawing/2014/chart" uri="{C3380CC4-5D6E-409C-BE32-E72D297353CC}">
              <c16:uniqueId val="{00000017-A12D-45BC-BA36-7BDC311B7018}"/>
            </c:ext>
          </c:extLst>
        </c:ser>
        <c:ser>
          <c:idx val="3"/>
          <c:order val="3"/>
          <c:tx>
            <c:strRef>
              <c:f>'Pivot Table'!$F$49:$F$50</c:f>
              <c:strCache>
                <c:ptCount val="1"/>
                <c:pt idx="0">
                  <c:v>West</c:v>
                </c:pt>
              </c:strCache>
            </c:strRef>
          </c:tx>
          <c:spPr>
            <a:ln w="28575" cap="rnd">
              <a:solidFill>
                <a:schemeClr val="accent4"/>
              </a:solidFill>
              <a:round/>
            </a:ln>
            <a:effectLst/>
          </c:spPr>
          <c:marker>
            <c:symbol val="none"/>
          </c:marker>
          <c:cat>
            <c:strRef>
              <c:f>'Pivot Table'!$B$51:$B$67</c:f>
              <c:strCache>
                <c:ptCount val="16"/>
                <c:pt idx="0">
                  <c:v>Rahul</c:v>
                </c:pt>
                <c:pt idx="1">
                  <c:v>Suraj</c:v>
                </c:pt>
                <c:pt idx="2">
                  <c:v>Akash</c:v>
                </c:pt>
                <c:pt idx="3">
                  <c:v>Amit</c:v>
                </c:pt>
                <c:pt idx="4">
                  <c:v>Ankita</c:v>
                </c:pt>
                <c:pt idx="5">
                  <c:v>Jayesh</c:v>
                </c:pt>
                <c:pt idx="6">
                  <c:v>Kamlesh</c:v>
                </c:pt>
                <c:pt idx="7">
                  <c:v>Krishna</c:v>
                </c:pt>
                <c:pt idx="8">
                  <c:v>Mehul</c:v>
                </c:pt>
                <c:pt idx="9">
                  <c:v>Namita</c:v>
                </c:pt>
                <c:pt idx="10">
                  <c:v>Riya</c:v>
                </c:pt>
                <c:pt idx="11">
                  <c:v>Ronak</c:v>
                </c:pt>
                <c:pt idx="12">
                  <c:v>Ruchita</c:v>
                </c:pt>
                <c:pt idx="13">
                  <c:v>Shubham</c:v>
                </c:pt>
                <c:pt idx="14">
                  <c:v>Sneha</c:v>
                </c:pt>
                <c:pt idx="15">
                  <c:v>Vineet</c:v>
                </c:pt>
              </c:strCache>
            </c:strRef>
          </c:cat>
          <c:val>
            <c:numRef>
              <c:f>'Pivot Table'!$F$51:$F$67</c:f>
              <c:numCache>
                <c:formatCode>0.00%</c:formatCode>
                <c:ptCount val="16"/>
                <c:pt idx="0">
                  <c:v>1.4E-2</c:v>
                </c:pt>
                <c:pt idx="1">
                  <c:v>2.5999999999999999E-2</c:v>
                </c:pt>
                <c:pt idx="2">
                  <c:v>1.7999999999999999E-2</c:v>
                </c:pt>
                <c:pt idx="3">
                  <c:v>1.2E-2</c:v>
                </c:pt>
                <c:pt idx="4">
                  <c:v>1.7000000000000001E-2</c:v>
                </c:pt>
                <c:pt idx="5">
                  <c:v>2.4E-2</c:v>
                </c:pt>
                <c:pt idx="6">
                  <c:v>2.7E-2</c:v>
                </c:pt>
                <c:pt idx="7">
                  <c:v>2.4E-2</c:v>
                </c:pt>
                <c:pt idx="8">
                  <c:v>1.9E-2</c:v>
                </c:pt>
                <c:pt idx="9">
                  <c:v>7.0000000000000001E-3</c:v>
                </c:pt>
                <c:pt idx="10">
                  <c:v>2.4E-2</c:v>
                </c:pt>
                <c:pt idx="11">
                  <c:v>1.2E-2</c:v>
                </c:pt>
                <c:pt idx="12">
                  <c:v>2.1000000000000001E-2</c:v>
                </c:pt>
                <c:pt idx="13">
                  <c:v>5.0000000000000001E-3</c:v>
                </c:pt>
                <c:pt idx="14">
                  <c:v>1.9E-2</c:v>
                </c:pt>
                <c:pt idx="15">
                  <c:v>1.0999999999999999E-2</c:v>
                </c:pt>
              </c:numCache>
            </c:numRef>
          </c:val>
          <c:smooth val="0"/>
          <c:extLst>
            <c:ext xmlns:c16="http://schemas.microsoft.com/office/drawing/2014/chart" uri="{C3380CC4-5D6E-409C-BE32-E72D297353CC}">
              <c16:uniqueId val="{00000018-A12D-45BC-BA36-7BDC311B7018}"/>
            </c:ext>
          </c:extLst>
        </c:ser>
        <c:dLbls>
          <c:showLegendKey val="0"/>
          <c:showVal val="0"/>
          <c:showCatName val="0"/>
          <c:showSerName val="0"/>
          <c:showPercent val="0"/>
          <c:showBubbleSize val="0"/>
        </c:dLbls>
        <c:smooth val="0"/>
        <c:axId val="599000032"/>
        <c:axId val="599005792"/>
      </c:lineChart>
      <c:catAx>
        <c:axId val="59900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599005792"/>
        <c:crosses val="autoZero"/>
        <c:auto val="1"/>
        <c:lblAlgn val="ctr"/>
        <c:lblOffset val="100"/>
        <c:noMultiLvlLbl val="0"/>
      </c:catAx>
      <c:valAx>
        <c:axId val="59900579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599000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Final Dashboard.xlsx]Pivot Table!PivotTable12</c:name>
    <c:fmtId val="3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4"/>
          </a:solidFill>
          <a:ln w="19050">
            <a:solidFill>
              <a:schemeClr val="lt1"/>
            </a:solidFill>
          </a:ln>
          <a:effectLst/>
        </c:spPr>
        <c:dLbl>
          <c:idx val="0"/>
          <c:layout>
            <c:manualLayout>
              <c:x val="5.5555555555555552E-2"/>
              <c:y val="9.722222222222222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7.2222222222222215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dLbl>
          <c:idx val="0"/>
          <c:layout>
            <c:manualLayout>
              <c:x val="-4.7222222222222249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7.2222222222222215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5.5555555555555552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dLbl>
          <c:idx val="0"/>
          <c:layout>
            <c:manualLayout>
              <c:x val="-4.7222222222222249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dLbl>
          <c:idx val="0"/>
          <c:layout>
            <c:manualLayout>
              <c:x val="1.1111111111111009E-2"/>
              <c:y val="3.7878776581132512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5.5555555555555558E-3"/>
              <c:y val="1.76768618238897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dLbl>
          <c:idx val="0"/>
          <c:layout>
            <c:manualLayout>
              <c:x val="-1.3888888888888888E-2"/>
              <c:y val="6.313228849549973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s>
    <c:plotArea>
      <c:layout>
        <c:manualLayout>
          <c:layoutTarget val="inner"/>
          <c:xMode val="edge"/>
          <c:yMode val="edge"/>
          <c:x val="0.20875984251968502"/>
          <c:y val="6.0385680956547089E-2"/>
          <c:w val="0.49914698162729659"/>
          <c:h val="0.83191163604549434"/>
        </c:manualLayout>
      </c:layout>
      <c:doughnutChart>
        <c:varyColors val="1"/>
        <c:ser>
          <c:idx val="0"/>
          <c:order val="0"/>
          <c:tx>
            <c:strRef>
              <c:f>'Pivot Table'!$B$35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E1-4AEE-B436-2FE3400551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E1-4AEE-B436-2FE3400551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E1-4AEE-B436-2FE3400551B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CE1-4AEE-B436-2FE3400551B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CE1-4AEE-B436-2FE3400551B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CE1-4AEE-B436-2FE3400551B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CE1-4AEE-B436-2FE3400551B1}"/>
              </c:ext>
            </c:extLst>
          </c:dPt>
          <c:dLbls>
            <c:dLbl>
              <c:idx val="2"/>
              <c:layout>
                <c:manualLayout>
                  <c:x val="1.1111111111111009E-2"/>
                  <c:y val="3.7878776581132512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E1-4AEE-B436-2FE3400551B1}"/>
                </c:ext>
              </c:extLst>
            </c:dLbl>
            <c:dLbl>
              <c:idx val="3"/>
              <c:layout>
                <c:manualLayout>
                  <c:x val="5.5555555555555558E-3"/>
                  <c:y val="1.7676861823889795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5CE1-4AEE-B436-2FE3400551B1}"/>
                </c:ext>
              </c:extLst>
            </c:dLbl>
            <c:dLbl>
              <c:idx val="5"/>
              <c:layout>
                <c:manualLayout>
                  <c:x val="-1.3888888888888888E-2"/>
                  <c:y val="6.3132288495499735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CE1-4AEE-B436-2FE3400551B1}"/>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extLst>
          </c:dLbls>
          <c:cat>
            <c:strRef>
              <c:f>'Pivot Table'!$A$36:$A$43</c:f>
              <c:strCache>
                <c:ptCount val="7"/>
                <c:pt idx="0">
                  <c:v>Ear Buds</c:v>
                </c:pt>
                <c:pt idx="1">
                  <c:v>Smart Watch</c:v>
                </c:pt>
                <c:pt idx="2">
                  <c:v>Monitor</c:v>
                </c:pt>
                <c:pt idx="3">
                  <c:v>Tablet</c:v>
                </c:pt>
                <c:pt idx="4">
                  <c:v>Printer</c:v>
                </c:pt>
                <c:pt idx="5">
                  <c:v>Mobile</c:v>
                </c:pt>
                <c:pt idx="6">
                  <c:v>Laptop</c:v>
                </c:pt>
              </c:strCache>
            </c:strRef>
          </c:cat>
          <c:val>
            <c:numRef>
              <c:f>'Pivot Table'!$B$36:$B$43</c:f>
              <c:numCache>
                <c:formatCode>0.00%</c:formatCode>
                <c:ptCount val="7"/>
                <c:pt idx="0">
                  <c:v>7.8917431671368304E-2</c:v>
                </c:pt>
                <c:pt idx="1">
                  <c:v>0.13065001419465452</c:v>
                </c:pt>
                <c:pt idx="2">
                  <c:v>0.1352771053324679</c:v>
                </c:pt>
                <c:pt idx="3">
                  <c:v>0.14110529277209716</c:v>
                </c:pt>
                <c:pt idx="4">
                  <c:v>0.15714319961895828</c:v>
                </c:pt>
                <c:pt idx="5">
                  <c:v>0.17725590234005989</c:v>
                </c:pt>
                <c:pt idx="6">
                  <c:v>0.17965105407039397</c:v>
                </c:pt>
              </c:numCache>
            </c:numRef>
          </c:val>
          <c:extLst>
            <c:ext xmlns:c16="http://schemas.microsoft.com/office/drawing/2014/chart" uri="{C3380CC4-5D6E-409C-BE32-E72D297353CC}">
              <c16:uniqueId val="{0000000E-5CE1-4AEE-B436-2FE3400551B1}"/>
            </c:ext>
          </c:extLst>
        </c:ser>
        <c:dLbls>
          <c:showLegendKey val="0"/>
          <c:showVal val="1"/>
          <c:showCatName val="0"/>
          <c:showSerName val="0"/>
          <c:showPercent val="0"/>
          <c:showBubbleSize val="0"/>
          <c:showLeaderLines val="0"/>
        </c:dLbls>
        <c:firstSliceAng val="0"/>
        <c:holeSize val="4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1.wdp"/><Relationship Id="rId13" Type="http://schemas.openxmlformats.org/officeDocument/2006/relationships/chart" Target="../charts/chart1.xml"/><Relationship Id="rId3" Type="http://schemas.openxmlformats.org/officeDocument/2006/relationships/hyperlink" Target="#Dashboard!A1"/><Relationship Id="rId7" Type="http://schemas.openxmlformats.org/officeDocument/2006/relationships/image" Target="../media/image3.png"/><Relationship Id="rId12" Type="http://schemas.openxmlformats.org/officeDocument/2006/relationships/hyperlink" Target="https://svgsilh.com/tag/shopper-1.html" TargetMode="External"/><Relationship Id="rId17" Type="http://schemas.openxmlformats.org/officeDocument/2006/relationships/chart" Target="../charts/chart4.xml"/><Relationship Id="rId2" Type="http://schemas.openxmlformats.org/officeDocument/2006/relationships/hyperlink" Target="https://3plainview.com/services-fractional-leadership-3pl-logistics-sales-and-marketing" TargetMode="External"/><Relationship Id="rId16" Type="http://schemas.openxmlformats.org/officeDocument/2006/relationships/hyperlink" Target="#' About'!A1"/><Relationship Id="rId1" Type="http://schemas.openxmlformats.org/officeDocument/2006/relationships/image" Target="../media/image1.png"/><Relationship Id="rId6" Type="http://schemas.openxmlformats.org/officeDocument/2006/relationships/image" Target="../media/image2.png"/><Relationship Id="rId11" Type="http://schemas.openxmlformats.org/officeDocument/2006/relationships/image" Target="../media/image5.svg"/><Relationship Id="rId5" Type="http://schemas.openxmlformats.org/officeDocument/2006/relationships/hyperlink" Target="#Region!A1"/><Relationship Id="rId15" Type="http://schemas.openxmlformats.org/officeDocument/2006/relationships/chart" Target="../charts/chart3.xml"/><Relationship Id="rId10" Type="http://schemas.openxmlformats.org/officeDocument/2006/relationships/image" Target="../media/image4.png"/><Relationship Id="rId4" Type="http://schemas.openxmlformats.org/officeDocument/2006/relationships/hyperlink" Target="#Salesmans!A1"/><Relationship Id="rId9" Type="http://schemas.openxmlformats.org/officeDocument/2006/relationships/hyperlink" Target="http://graphicdesign.stackexchange.com/questions/68399/why-do-most-of-the-well-known-currency-symbols-have-strikeouts-in-their-symbols" TargetMode="External"/><Relationship Id="rId1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8" Type="http://schemas.openxmlformats.org/officeDocument/2006/relationships/hyperlink" Target="https://svgsilh.com/tag/shopper-1.html" TargetMode="External"/><Relationship Id="rId13"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image" Target="../media/image5.svg"/><Relationship Id="rId12" Type="http://schemas.openxmlformats.org/officeDocument/2006/relationships/chart" Target="../charts/chart6.xml"/><Relationship Id="rId17" Type="http://schemas.openxmlformats.org/officeDocument/2006/relationships/hyperlink" Target="https://svgsilh.com/image/944525.html" TargetMode="External"/><Relationship Id="rId2" Type="http://schemas.openxmlformats.org/officeDocument/2006/relationships/hyperlink" Target="#Products!A1"/><Relationship Id="rId16" Type="http://schemas.openxmlformats.org/officeDocument/2006/relationships/image" Target="../media/image8.svg"/><Relationship Id="rId1" Type="http://schemas.openxmlformats.org/officeDocument/2006/relationships/hyperlink" Target="#Region!A1"/><Relationship Id="rId6" Type="http://schemas.openxmlformats.org/officeDocument/2006/relationships/image" Target="../media/image4.png"/><Relationship Id="rId11" Type="http://schemas.openxmlformats.org/officeDocument/2006/relationships/chart" Target="../charts/chart5.xml"/><Relationship Id="rId5" Type="http://schemas.openxmlformats.org/officeDocument/2006/relationships/hyperlink" Target="http://graphicdesign.stackexchange.com/questions/68399/why-do-most-of-the-well-known-currency-symbols-have-strikeouts-in-their-symbols" TargetMode="External"/><Relationship Id="rId15" Type="http://schemas.openxmlformats.org/officeDocument/2006/relationships/image" Target="../media/image7.png"/><Relationship Id="rId10" Type="http://schemas.openxmlformats.org/officeDocument/2006/relationships/hyperlink" Target="https://freepngimg.com/png/48755-earnings-png-download-free" TargetMode="External"/><Relationship Id="rId4" Type="http://schemas.microsoft.com/office/2007/relationships/hdphoto" Target="../media/hdphoto1.wdp"/><Relationship Id="rId9" Type="http://schemas.openxmlformats.org/officeDocument/2006/relationships/image" Target="../media/image6.png"/><Relationship Id="rId14" Type="http://schemas.openxmlformats.org/officeDocument/2006/relationships/hyperlink" Target="#' About'!A1"/></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13" Type="http://schemas.microsoft.com/office/2007/relationships/hdphoto" Target="../media/hdphoto3.wdp"/><Relationship Id="rId18" Type="http://schemas.openxmlformats.org/officeDocument/2006/relationships/image" Target="../media/image13.png"/><Relationship Id="rId3" Type="http://schemas.openxmlformats.org/officeDocument/2006/relationships/hyperlink" Target="#Region!A1"/><Relationship Id="rId21" Type="http://schemas.openxmlformats.org/officeDocument/2006/relationships/chart" Target="../charts/chart9.xml"/><Relationship Id="rId7" Type="http://schemas.openxmlformats.org/officeDocument/2006/relationships/hyperlink" Target="#' About'!A1"/><Relationship Id="rId12" Type="http://schemas.openxmlformats.org/officeDocument/2006/relationships/image" Target="../media/image10.png"/><Relationship Id="rId17" Type="http://schemas.openxmlformats.org/officeDocument/2006/relationships/hyperlink" Target="https://svgsilh.com/image/97600.html" TargetMode="External"/><Relationship Id="rId2" Type="http://schemas.openxmlformats.org/officeDocument/2006/relationships/hyperlink" Target="#Salesmans!A1"/><Relationship Id="rId16" Type="http://schemas.openxmlformats.org/officeDocument/2006/relationships/image" Target="../media/image12.svg"/><Relationship Id="rId20" Type="http://schemas.openxmlformats.org/officeDocument/2006/relationships/hyperlink" Target="https://svgsilh.com/image/1346174.html" TargetMode="External"/><Relationship Id="rId1" Type="http://schemas.openxmlformats.org/officeDocument/2006/relationships/hyperlink" Target="#Products!A1"/><Relationship Id="rId6" Type="http://schemas.openxmlformats.org/officeDocument/2006/relationships/hyperlink" Target="http://graphicdesign.stackexchange.com/questions/68399/why-do-most-of-the-well-known-currency-symbols-have-strikeouts-in-their-symbols" TargetMode="External"/><Relationship Id="rId11" Type="http://schemas.openxmlformats.org/officeDocument/2006/relationships/hyperlink" Target="https://www.directwines.com.hk/products/le-champ-des-etoiles-chardonnay-2024" TargetMode="External"/><Relationship Id="rId5" Type="http://schemas.microsoft.com/office/2007/relationships/hdphoto" Target="../media/hdphoto1.wdp"/><Relationship Id="rId15" Type="http://schemas.openxmlformats.org/officeDocument/2006/relationships/image" Target="../media/image11.png"/><Relationship Id="rId10" Type="http://schemas.microsoft.com/office/2007/relationships/hdphoto" Target="../media/hdphoto2.wdp"/><Relationship Id="rId19" Type="http://schemas.openxmlformats.org/officeDocument/2006/relationships/image" Target="../media/image14.svg"/><Relationship Id="rId4" Type="http://schemas.openxmlformats.org/officeDocument/2006/relationships/image" Target="../media/image3.png"/><Relationship Id="rId9" Type="http://schemas.openxmlformats.org/officeDocument/2006/relationships/image" Target="../media/image9.png"/><Relationship Id="rId14" Type="http://schemas.openxmlformats.org/officeDocument/2006/relationships/hyperlink" Target="https://www.rawpixel.com/search/letter%20e%20elegant?page=1&amp;sort=curated" TargetMode="External"/></Relationships>
</file>

<file path=xl/drawings/_rels/drawing4.xml.rels><?xml version="1.0" encoding="UTF-8" standalone="yes"?>
<Relationships xmlns="http://schemas.openxmlformats.org/package/2006/relationships"><Relationship Id="rId3" Type="http://schemas.openxmlformats.org/officeDocument/2006/relationships/hyperlink" Target="#Salesmans!A1"/><Relationship Id="rId2" Type="http://schemas.openxmlformats.org/officeDocument/2006/relationships/hyperlink" Target="#Products!A1"/><Relationship Id="rId1" Type="http://schemas.openxmlformats.org/officeDocument/2006/relationships/hyperlink" Target="#' About'!A1"/><Relationship Id="rId4" Type="http://schemas.openxmlformats.org/officeDocument/2006/relationships/hyperlink" Target="#Region!A1"/></Relationships>
</file>

<file path=xl/drawings/drawing1.xml><?xml version="1.0" encoding="utf-8"?>
<xdr:wsDr xmlns:xdr="http://schemas.openxmlformats.org/drawingml/2006/spreadsheetDrawing" xmlns:a="http://schemas.openxmlformats.org/drawingml/2006/main">
  <xdr:twoCellAnchor>
    <xdr:from>
      <xdr:col>0</xdr:col>
      <xdr:colOff>142874</xdr:colOff>
      <xdr:row>0</xdr:row>
      <xdr:rowOff>76200</xdr:rowOff>
    </xdr:from>
    <xdr:to>
      <xdr:col>26</xdr:col>
      <xdr:colOff>53787</xdr:colOff>
      <xdr:row>34</xdr:row>
      <xdr:rowOff>177800</xdr:rowOff>
    </xdr:to>
    <xdr:sp macro="" textlink="">
      <xdr:nvSpPr>
        <xdr:cNvPr id="2" name="Rectangle: Rounded Corners 1">
          <a:extLst>
            <a:ext uri="{FF2B5EF4-FFF2-40B4-BE49-F238E27FC236}">
              <a16:creationId xmlns:a16="http://schemas.microsoft.com/office/drawing/2014/main" id="{288CF59B-2FCC-45E4-9B46-0A31C66EB79B}"/>
            </a:ext>
          </a:extLst>
        </xdr:cNvPr>
        <xdr:cNvSpPr/>
      </xdr:nvSpPr>
      <xdr:spPr>
        <a:xfrm>
          <a:off x="142874" y="76200"/>
          <a:ext cx="15760513" cy="6434667"/>
        </a:xfrm>
        <a:prstGeom prst="roundRect">
          <a:avLst>
            <a:gd name="adj" fmla="val 3201"/>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3</xdr:col>
      <xdr:colOff>393246</xdr:colOff>
      <xdr:row>1</xdr:row>
      <xdr:rowOff>35530</xdr:rowOff>
    </xdr:from>
    <xdr:to>
      <xdr:col>22</xdr:col>
      <xdr:colOff>12246</xdr:colOff>
      <xdr:row>34</xdr:row>
      <xdr:rowOff>76200</xdr:rowOff>
    </xdr:to>
    <xdr:sp macro="" textlink="">
      <xdr:nvSpPr>
        <xdr:cNvPr id="3" name="Rectangle: Rounded Corners 2">
          <a:extLst>
            <a:ext uri="{FF2B5EF4-FFF2-40B4-BE49-F238E27FC236}">
              <a16:creationId xmlns:a16="http://schemas.microsoft.com/office/drawing/2014/main" id="{43877754-E8C4-43AF-91A7-77D279CE5841}"/>
            </a:ext>
          </a:extLst>
        </xdr:cNvPr>
        <xdr:cNvSpPr/>
      </xdr:nvSpPr>
      <xdr:spPr>
        <a:xfrm>
          <a:off x="2222046" y="221797"/>
          <a:ext cx="11201400" cy="6187470"/>
        </a:xfrm>
        <a:prstGeom prst="roundRect">
          <a:avLst>
            <a:gd name="adj" fmla="val 3782"/>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200"/>
            <a:t>   </a:t>
          </a:r>
          <a:endParaRPr lang="en-US" sz="1200">
            <a:effectLst/>
          </a:endParaRPr>
        </a:p>
        <a:p>
          <a:pPr algn="l"/>
          <a:r>
            <a:rPr lang="en-US" sz="1200"/>
            <a:t>  </a:t>
          </a:r>
        </a:p>
      </xdr:txBody>
    </xdr:sp>
    <xdr:clientData/>
  </xdr:twoCellAnchor>
  <xdr:twoCellAnchor>
    <xdr:from>
      <xdr:col>8</xdr:col>
      <xdr:colOff>180647</xdr:colOff>
      <xdr:row>8</xdr:row>
      <xdr:rowOff>56093</xdr:rowOff>
    </xdr:from>
    <xdr:to>
      <xdr:col>12</xdr:col>
      <xdr:colOff>226059</xdr:colOff>
      <xdr:row>13</xdr:row>
      <xdr:rowOff>13643</xdr:rowOff>
    </xdr:to>
    <xdr:sp macro="" textlink="">
      <xdr:nvSpPr>
        <xdr:cNvPr id="4" name="Rectangle: Rounded Corners 3">
          <a:extLst>
            <a:ext uri="{FF2B5EF4-FFF2-40B4-BE49-F238E27FC236}">
              <a16:creationId xmlns:a16="http://schemas.microsoft.com/office/drawing/2014/main" id="{81DBBBE4-CE38-467A-80CE-D3D03F2FA4BB}"/>
            </a:ext>
          </a:extLst>
        </xdr:cNvPr>
        <xdr:cNvSpPr/>
      </xdr:nvSpPr>
      <xdr:spPr>
        <a:xfrm>
          <a:off x="5057447" y="1546226"/>
          <a:ext cx="2483812" cy="888884"/>
        </a:xfrm>
        <a:prstGeom prst="roundRect">
          <a:avLst/>
        </a:prstGeom>
        <a:solidFill>
          <a:srgbClr val="FFC00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100984</xdr:colOff>
      <xdr:row>8</xdr:row>
      <xdr:rowOff>56093</xdr:rowOff>
    </xdr:from>
    <xdr:to>
      <xdr:col>12</xdr:col>
      <xdr:colOff>226059</xdr:colOff>
      <xdr:row>13</xdr:row>
      <xdr:rowOff>13643</xdr:rowOff>
    </xdr:to>
    <xdr:sp macro="" textlink="">
      <xdr:nvSpPr>
        <xdr:cNvPr id="6" name="Rectangle: Rounded Corners 5">
          <a:extLst>
            <a:ext uri="{FF2B5EF4-FFF2-40B4-BE49-F238E27FC236}">
              <a16:creationId xmlns:a16="http://schemas.microsoft.com/office/drawing/2014/main" id="{3C7880F1-9A4F-4EA8-87B1-94A6BC72C0E2}"/>
            </a:ext>
          </a:extLst>
        </xdr:cNvPr>
        <xdr:cNvSpPr/>
      </xdr:nvSpPr>
      <xdr:spPr>
        <a:xfrm>
          <a:off x="5587384" y="1546226"/>
          <a:ext cx="1953875" cy="88888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8</xdr:col>
      <xdr:colOff>45181</xdr:colOff>
      <xdr:row>9</xdr:row>
      <xdr:rowOff>75375</xdr:rowOff>
    </xdr:from>
    <xdr:to>
      <xdr:col>9</xdr:col>
      <xdr:colOff>210423</xdr:colOff>
      <xdr:row>12</xdr:row>
      <xdr:rowOff>57015</xdr:rowOff>
    </xdr:to>
    <xdr:pic>
      <xdr:nvPicPr>
        <xdr:cNvPr id="8" name="Picture 7">
          <a:extLst>
            <a:ext uri="{FF2B5EF4-FFF2-40B4-BE49-F238E27FC236}">
              <a16:creationId xmlns:a16="http://schemas.microsoft.com/office/drawing/2014/main" id="{FE7A373B-B61F-4B67-82A7-CFE09FA689FB}"/>
            </a:ext>
          </a:extLst>
        </xdr:cNvPr>
        <xdr:cNvPicPr>
          <a:picLocks noChangeAspect="1"/>
        </xdr:cNvPicPr>
      </xdr:nvPicPr>
      <xdr:blipFill>
        <a:blip xmlns:r="http://schemas.openxmlformats.org/officeDocument/2006/relationships" r:embed="rId1" cstate="print">
          <a:biLevel thresh="75000"/>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4921981" y="1751775"/>
          <a:ext cx="774842" cy="540440"/>
        </a:xfrm>
        <a:prstGeom prst="rect">
          <a:avLst/>
        </a:prstGeom>
      </xdr:spPr>
    </xdr:pic>
    <xdr:clientData/>
  </xdr:twoCellAnchor>
  <xdr:twoCellAnchor>
    <xdr:from>
      <xdr:col>0</xdr:col>
      <xdr:colOff>289576</xdr:colOff>
      <xdr:row>9</xdr:row>
      <xdr:rowOff>175956</xdr:rowOff>
    </xdr:from>
    <xdr:to>
      <xdr:col>3</xdr:col>
      <xdr:colOff>191601</xdr:colOff>
      <xdr:row>13</xdr:row>
      <xdr:rowOff>17053</xdr:rowOff>
    </xdr:to>
    <xdr:sp macro="" textlink="">
      <xdr:nvSpPr>
        <xdr:cNvPr id="10" name="Rectangle: Rounded Corners 9">
          <a:hlinkClick xmlns:r="http://schemas.openxmlformats.org/officeDocument/2006/relationships" r:id="rId3"/>
          <a:extLst>
            <a:ext uri="{FF2B5EF4-FFF2-40B4-BE49-F238E27FC236}">
              <a16:creationId xmlns:a16="http://schemas.microsoft.com/office/drawing/2014/main" id="{254A7F2C-BE32-43D3-860B-A44043AC4771}"/>
            </a:ext>
          </a:extLst>
        </xdr:cNvPr>
        <xdr:cNvSpPr/>
      </xdr:nvSpPr>
      <xdr:spPr>
        <a:xfrm>
          <a:off x="289576" y="1804731"/>
          <a:ext cx="1730825" cy="564997"/>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rPr>
            <a:t>PRODUCTS</a:t>
          </a:r>
        </a:p>
      </xdr:txBody>
    </xdr:sp>
    <xdr:clientData/>
  </xdr:twoCellAnchor>
  <xdr:twoCellAnchor>
    <xdr:from>
      <xdr:col>0</xdr:col>
      <xdr:colOff>289576</xdr:colOff>
      <xdr:row>13</xdr:row>
      <xdr:rowOff>148660</xdr:rowOff>
    </xdr:from>
    <xdr:to>
      <xdr:col>3</xdr:col>
      <xdr:colOff>191601</xdr:colOff>
      <xdr:row>16</xdr:row>
      <xdr:rowOff>172634</xdr:rowOff>
    </xdr:to>
    <xdr:sp macro="" textlink="">
      <xdr:nvSpPr>
        <xdr:cNvPr id="11" name="Rectangle: Rounded Corners 10">
          <a:hlinkClick xmlns:r="http://schemas.openxmlformats.org/officeDocument/2006/relationships" r:id="rId4"/>
          <a:extLst>
            <a:ext uri="{FF2B5EF4-FFF2-40B4-BE49-F238E27FC236}">
              <a16:creationId xmlns:a16="http://schemas.microsoft.com/office/drawing/2014/main" id="{BDFA3776-EF1B-4BD1-9925-8856DD2ED3DD}"/>
            </a:ext>
          </a:extLst>
        </xdr:cNvPr>
        <xdr:cNvSpPr/>
      </xdr:nvSpPr>
      <xdr:spPr>
        <a:xfrm>
          <a:off x="289576" y="2501335"/>
          <a:ext cx="1730825" cy="566899"/>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rgbClr val="FFFFFF"/>
              </a:solidFill>
            </a:rPr>
            <a:t>SALESMANS</a:t>
          </a:r>
        </a:p>
      </xdr:txBody>
    </xdr:sp>
    <xdr:clientData/>
  </xdr:twoCellAnchor>
  <xdr:twoCellAnchor>
    <xdr:from>
      <xdr:col>0</xdr:col>
      <xdr:colOff>289576</xdr:colOff>
      <xdr:row>17</xdr:row>
      <xdr:rowOff>120149</xdr:rowOff>
    </xdr:from>
    <xdr:to>
      <xdr:col>3</xdr:col>
      <xdr:colOff>191601</xdr:colOff>
      <xdr:row>20</xdr:row>
      <xdr:rowOff>145336</xdr:rowOff>
    </xdr:to>
    <xdr:sp macro="" textlink="">
      <xdr:nvSpPr>
        <xdr:cNvPr id="12" name="Rectangle: Rounded Corners 11">
          <a:hlinkClick xmlns:r="http://schemas.openxmlformats.org/officeDocument/2006/relationships" r:id="rId5"/>
          <a:extLst>
            <a:ext uri="{FF2B5EF4-FFF2-40B4-BE49-F238E27FC236}">
              <a16:creationId xmlns:a16="http://schemas.microsoft.com/office/drawing/2014/main" id="{9625F3EE-5953-4A89-8867-AF6A78E7EC28}"/>
            </a:ext>
          </a:extLst>
        </xdr:cNvPr>
        <xdr:cNvSpPr/>
      </xdr:nvSpPr>
      <xdr:spPr>
        <a:xfrm>
          <a:off x="289576" y="3196724"/>
          <a:ext cx="1730825" cy="568112"/>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rgbClr val="FFFFFF"/>
              </a:solidFill>
            </a:rPr>
            <a:t>REGION</a:t>
          </a:r>
        </a:p>
      </xdr:txBody>
    </xdr:sp>
    <xdr:clientData/>
  </xdr:twoCellAnchor>
  <xdr:twoCellAnchor editAs="oneCell">
    <xdr:from>
      <xdr:col>3</xdr:col>
      <xdr:colOff>482375</xdr:colOff>
      <xdr:row>4</xdr:row>
      <xdr:rowOff>148606</xdr:rowOff>
    </xdr:from>
    <xdr:to>
      <xdr:col>4</xdr:col>
      <xdr:colOff>546646</xdr:colOff>
      <xdr:row>8</xdr:row>
      <xdr:rowOff>1095</xdr:rowOff>
    </xdr:to>
    <xdr:pic>
      <xdr:nvPicPr>
        <xdr:cNvPr id="13" name="Picture 12">
          <a:extLst>
            <a:ext uri="{FF2B5EF4-FFF2-40B4-BE49-F238E27FC236}">
              <a16:creationId xmlns:a16="http://schemas.microsoft.com/office/drawing/2014/main" id="{1628BE57-A2C1-43CF-A10B-F53E69739DC9}"/>
            </a:ext>
          </a:extLst>
        </xdr:cNvPr>
        <xdr:cNvPicPr>
          <a:picLocks noChangeAspect="1"/>
        </xdr:cNvPicPr>
      </xdr:nvPicPr>
      <xdr:blipFill>
        <a:blip xmlns:r="http://schemas.openxmlformats.org/officeDocument/2006/relationships" r:embed="rId6"/>
        <a:stretch>
          <a:fillRect/>
        </a:stretch>
      </xdr:blipFill>
      <xdr:spPr>
        <a:xfrm>
          <a:off x="2311175" y="893673"/>
          <a:ext cx="673871" cy="597555"/>
        </a:xfrm>
        <a:prstGeom prst="rect">
          <a:avLst/>
        </a:prstGeom>
      </xdr:spPr>
    </xdr:pic>
    <xdr:clientData/>
  </xdr:twoCellAnchor>
  <xdr:twoCellAnchor>
    <xdr:from>
      <xdr:col>3</xdr:col>
      <xdr:colOff>507771</xdr:colOff>
      <xdr:row>14</xdr:row>
      <xdr:rowOff>80682</xdr:rowOff>
    </xdr:from>
    <xdr:to>
      <xdr:col>11</xdr:col>
      <xdr:colOff>528918</xdr:colOff>
      <xdr:row>33</xdr:row>
      <xdr:rowOff>139758</xdr:rowOff>
    </xdr:to>
    <xdr:sp macro="" textlink="">
      <xdr:nvSpPr>
        <xdr:cNvPr id="14" name="Rectangle: Rounded Corners 13">
          <a:extLst>
            <a:ext uri="{FF2B5EF4-FFF2-40B4-BE49-F238E27FC236}">
              <a16:creationId xmlns:a16="http://schemas.microsoft.com/office/drawing/2014/main" id="{7D23D7DD-9D55-4771-9C04-9DBF42B82B8E}"/>
            </a:ext>
          </a:extLst>
        </xdr:cNvPr>
        <xdr:cNvSpPr/>
      </xdr:nvSpPr>
      <xdr:spPr>
        <a:xfrm>
          <a:off x="2336571" y="2590800"/>
          <a:ext cx="4897947" cy="3465664"/>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55284</xdr:colOff>
      <xdr:row>14</xdr:row>
      <xdr:rowOff>109070</xdr:rowOff>
    </xdr:from>
    <xdr:to>
      <xdr:col>21</xdr:col>
      <xdr:colOff>466166</xdr:colOff>
      <xdr:row>23</xdr:row>
      <xdr:rowOff>130296</xdr:rowOff>
    </xdr:to>
    <xdr:sp macro="" textlink="">
      <xdr:nvSpPr>
        <xdr:cNvPr id="16" name="Rectangle: Rounded Corners 15">
          <a:extLst>
            <a:ext uri="{FF2B5EF4-FFF2-40B4-BE49-F238E27FC236}">
              <a16:creationId xmlns:a16="http://schemas.microsoft.com/office/drawing/2014/main" id="{D58B8B53-9D4A-4520-C1D0-0D7C5FC52B67}"/>
            </a:ext>
          </a:extLst>
        </xdr:cNvPr>
        <xdr:cNvSpPr/>
      </xdr:nvSpPr>
      <xdr:spPr>
        <a:xfrm>
          <a:off x="7370484" y="2619188"/>
          <a:ext cx="5897282" cy="1634873"/>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524932</xdr:colOff>
      <xdr:row>8</xdr:row>
      <xdr:rowOff>50798</xdr:rowOff>
    </xdr:from>
    <xdr:to>
      <xdr:col>7</xdr:col>
      <xdr:colOff>570345</xdr:colOff>
      <xdr:row>12</xdr:row>
      <xdr:rowOff>181068</xdr:rowOff>
    </xdr:to>
    <xdr:sp macro="" textlink="">
      <xdr:nvSpPr>
        <xdr:cNvPr id="17" name="Rectangle: Rounded Corners 16">
          <a:extLst>
            <a:ext uri="{FF2B5EF4-FFF2-40B4-BE49-F238E27FC236}">
              <a16:creationId xmlns:a16="http://schemas.microsoft.com/office/drawing/2014/main" id="{0EAC168D-66F2-461D-88CC-B35356F9A7D5}"/>
            </a:ext>
          </a:extLst>
        </xdr:cNvPr>
        <xdr:cNvSpPr/>
      </xdr:nvSpPr>
      <xdr:spPr>
        <a:xfrm>
          <a:off x="2353732" y="1540931"/>
          <a:ext cx="2483813" cy="875337"/>
        </a:xfrm>
        <a:prstGeom prst="roundRect">
          <a:avLst/>
        </a:prstGeom>
        <a:solidFill>
          <a:srgbClr val="00B05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448732</xdr:colOff>
      <xdr:row>8</xdr:row>
      <xdr:rowOff>42331</xdr:rowOff>
    </xdr:from>
    <xdr:to>
      <xdr:col>7</xdr:col>
      <xdr:colOff>573807</xdr:colOff>
      <xdr:row>12</xdr:row>
      <xdr:rowOff>186148</xdr:rowOff>
    </xdr:to>
    <xdr:sp macro="" textlink="">
      <xdr:nvSpPr>
        <xdr:cNvPr id="18" name="Rectangle: Rounded Corners 17">
          <a:extLst>
            <a:ext uri="{FF2B5EF4-FFF2-40B4-BE49-F238E27FC236}">
              <a16:creationId xmlns:a16="http://schemas.microsoft.com/office/drawing/2014/main" id="{86758BE5-F1C5-42D3-BA87-E8A1452C788C}"/>
            </a:ext>
          </a:extLst>
        </xdr:cNvPr>
        <xdr:cNvSpPr/>
      </xdr:nvSpPr>
      <xdr:spPr>
        <a:xfrm>
          <a:off x="2887132" y="1532464"/>
          <a:ext cx="1953875" cy="88888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592665</xdr:colOff>
      <xdr:row>8</xdr:row>
      <xdr:rowOff>160865</xdr:rowOff>
    </xdr:from>
    <xdr:to>
      <xdr:col>4</xdr:col>
      <xdr:colOff>525161</xdr:colOff>
      <xdr:row>12</xdr:row>
      <xdr:rowOff>93962</xdr:rowOff>
    </xdr:to>
    <xdr:pic>
      <xdr:nvPicPr>
        <xdr:cNvPr id="19" name="Picture 18">
          <a:extLst>
            <a:ext uri="{FF2B5EF4-FFF2-40B4-BE49-F238E27FC236}">
              <a16:creationId xmlns:a16="http://schemas.microsoft.com/office/drawing/2014/main" id="{4C0EF86A-2730-4105-8398-6C3EBF69A836}"/>
            </a:ext>
          </a:extLst>
        </xdr:cNvPr>
        <xdr:cNvPicPr>
          <a:picLocks noChangeAspect="1"/>
        </xdr:cNvPicPr>
      </xdr:nvPicPr>
      <xdr:blipFill>
        <a:blip xmlns:r="http://schemas.openxmlformats.org/officeDocument/2006/relationships" r:embed="rId7" cstate="print">
          <a:biLevel thresh="75000"/>
          <a:extLst>
            <a:ext uri="{BEBA8EAE-BF5A-486C-A8C5-ECC9F3942E4B}">
              <a14:imgProps xmlns:a14="http://schemas.microsoft.com/office/drawing/2010/main">
                <a14:imgLayer r:embed="rId8">
                  <a14:imgEffect>
                    <a14:backgroundRemoval t="2036" b="95929" l="3438" r="93125">
                      <a14:foregroundMark x1="54375" y1="52672" x2="54375" y2="52672"/>
                    </a14:backgroundRemoval>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9"/>
            </a:ext>
          </a:extLst>
        </a:blip>
        <a:stretch>
          <a:fillRect/>
        </a:stretch>
      </xdr:blipFill>
      <xdr:spPr>
        <a:xfrm>
          <a:off x="2421465" y="1650998"/>
          <a:ext cx="542096" cy="678164"/>
        </a:xfrm>
        <a:prstGeom prst="rect">
          <a:avLst/>
        </a:prstGeom>
      </xdr:spPr>
    </xdr:pic>
    <xdr:clientData/>
  </xdr:twoCellAnchor>
  <xdr:twoCellAnchor>
    <xdr:from>
      <xdr:col>4</xdr:col>
      <xdr:colOff>524932</xdr:colOff>
      <xdr:row>4</xdr:row>
      <xdr:rowOff>143931</xdr:rowOff>
    </xdr:from>
    <xdr:to>
      <xdr:col>8</xdr:col>
      <xdr:colOff>40407</xdr:colOff>
      <xdr:row>9</xdr:row>
      <xdr:rowOff>101482</xdr:rowOff>
    </xdr:to>
    <xdr:sp macro="" textlink="">
      <xdr:nvSpPr>
        <xdr:cNvPr id="22" name="Rectangle: Rounded Corners 21">
          <a:extLst>
            <a:ext uri="{FF2B5EF4-FFF2-40B4-BE49-F238E27FC236}">
              <a16:creationId xmlns:a16="http://schemas.microsoft.com/office/drawing/2014/main" id="{BFD67F90-BD7A-5C7B-3A5F-B5E6D2E3E8A9}"/>
            </a:ext>
          </a:extLst>
        </xdr:cNvPr>
        <xdr:cNvSpPr/>
      </xdr:nvSpPr>
      <xdr:spPr>
        <a:xfrm>
          <a:off x="2963332" y="888998"/>
          <a:ext cx="1953875" cy="88888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tx1"/>
              </a:solidFill>
            </a:rPr>
            <a:t>ANALYTICS</a:t>
          </a:r>
        </a:p>
      </xdr:txBody>
    </xdr:sp>
    <xdr:clientData/>
  </xdr:twoCellAnchor>
  <xdr:twoCellAnchor>
    <xdr:from>
      <xdr:col>4</xdr:col>
      <xdr:colOff>541867</xdr:colOff>
      <xdr:row>8</xdr:row>
      <xdr:rowOff>59267</xdr:rowOff>
    </xdr:from>
    <xdr:to>
      <xdr:col>7</xdr:col>
      <xdr:colOff>186267</xdr:colOff>
      <xdr:row>10</xdr:row>
      <xdr:rowOff>16933</xdr:rowOff>
    </xdr:to>
    <xdr:sp macro="" textlink="">
      <xdr:nvSpPr>
        <xdr:cNvPr id="23" name="TextBox 22">
          <a:extLst>
            <a:ext uri="{FF2B5EF4-FFF2-40B4-BE49-F238E27FC236}">
              <a16:creationId xmlns:a16="http://schemas.microsoft.com/office/drawing/2014/main" id="{A6C140CA-1868-EFC8-2A70-55FEA23163F6}"/>
            </a:ext>
          </a:extLst>
        </xdr:cNvPr>
        <xdr:cNvSpPr txBox="1"/>
      </xdr:nvSpPr>
      <xdr:spPr>
        <a:xfrm>
          <a:off x="2980267" y="1549400"/>
          <a:ext cx="1473200" cy="330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a:t>
          </a:r>
          <a:r>
            <a:rPr lang="en-US" sz="1400" b="1" baseline="0"/>
            <a:t> REVENUE</a:t>
          </a:r>
          <a:endParaRPr lang="en-US" sz="1400" b="1"/>
        </a:p>
      </xdr:txBody>
    </xdr:sp>
    <xdr:clientData/>
  </xdr:twoCellAnchor>
  <xdr:twoCellAnchor>
    <xdr:from>
      <xdr:col>4</xdr:col>
      <xdr:colOff>524934</xdr:colOff>
      <xdr:row>9</xdr:row>
      <xdr:rowOff>110067</xdr:rowOff>
    </xdr:from>
    <xdr:to>
      <xdr:col>7</xdr:col>
      <xdr:colOff>381000</xdr:colOff>
      <xdr:row>12</xdr:row>
      <xdr:rowOff>110067</xdr:rowOff>
    </xdr:to>
    <xdr:sp macro="" textlink="'Pivot Table'!H13">
      <xdr:nvSpPr>
        <xdr:cNvPr id="24" name="TextBox 23">
          <a:extLst>
            <a:ext uri="{FF2B5EF4-FFF2-40B4-BE49-F238E27FC236}">
              <a16:creationId xmlns:a16="http://schemas.microsoft.com/office/drawing/2014/main" id="{93172301-480F-927F-C9C5-6B06A9B5EDB9}"/>
            </a:ext>
          </a:extLst>
        </xdr:cNvPr>
        <xdr:cNvSpPr txBox="1"/>
      </xdr:nvSpPr>
      <xdr:spPr>
        <a:xfrm>
          <a:off x="2963334" y="1786467"/>
          <a:ext cx="1684866" cy="558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62A1E93-F136-4782-81C5-879CAD66523B}" type="TxLink">
            <a:rPr lang="en-US" sz="3200" b="1" i="0" u="none" strike="noStrike">
              <a:solidFill>
                <a:srgbClr val="000000"/>
              </a:solidFill>
              <a:latin typeface="Calibri"/>
              <a:cs typeface="Calibri"/>
            </a:rPr>
            <a:pPr/>
            <a:t>401.65M</a:t>
          </a:fld>
          <a:endParaRPr lang="en-US" sz="4000" b="1"/>
        </a:p>
      </xdr:txBody>
    </xdr:sp>
    <xdr:clientData/>
  </xdr:twoCellAnchor>
  <xdr:twoCellAnchor>
    <xdr:from>
      <xdr:col>9</xdr:col>
      <xdr:colOff>220133</xdr:colOff>
      <xdr:row>8</xdr:row>
      <xdr:rowOff>84665</xdr:rowOff>
    </xdr:from>
    <xdr:to>
      <xdr:col>11</xdr:col>
      <xdr:colOff>601133</xdr:colOff>
      <xdr:row>10</xdr:row>
      <xdr:rowOff>8464</xdr:rowOff>
    </xdr:to>
    <xdr:sp macro="" textlink="">
      <xdr:nvSpPr>
        <xdr:cNvPr id="25" name="TextBox 24">
          <a:extLst>
            <a:ext uri="{FF2B5EF4-FFF2-40B4-BE49-F238E27FC236}">
              <a16:creationId xmlns:a16="http://schemas.microsoft.com/office/drawing/2014/main" id="{E725CEC4-9736-4915-747A-8F2E1CC11096}"/>
            </a:ext>
          </a:extLst>
        </xdr:cNvPr>
        <xdr:cNvSpPr txBox="1"/>
      </xdr:nvSpPr>
      <xdr:spPr>
        <a:xfrm>
          <a:off x="5706533" y="1574798"/>
          <a:ext cx="1600200" cy="2963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a:t>
          </a:r>
          <a:r>
            <a:rPr lang="en-US" sz="1400" b="1" baseline="0"/>
            <a:t> UNIT SOLD</a:t>
          </a:r>
          <a:endParaRPr lang="en-US" sz="1400" b="1"/>
        </a:p>
      </xdr:txBody>
    </xdr:sp>
    <xdr:clientData/>
  </xdr:twoCellAnchor>
  <xdr:twoCellAnchor>
    <xdr:from>
      <xdr:col>9</xdr:col>
      <xdr:colOff>406400</xdr:colOff>
      <xdr:row>9</xdr:row>
      <xdr:rowOff>135465</xdr:rowOff>
    </xdr:from>
    <xdr:to>
      <xdr:col>12</xdr:col>
      <xdr:colOff>177800</xdr:colOff>
      <xdr:row>12</xdr:row>
      <xdr:rowOff>135467</xdr:rowOff>
    </xdr:to>
    <xdr:sp macro="" textlink="'Pivot Table'!H14">
      <xdr:nvSpPr>
        <xdr:cNvPr id="26" name="TextBox 25">
          <a:extLst>
            <a:ext uri="{FF2B5EF4-FFF2-40B4-BE49-F238E27FC236}">
              <a16:creationId xmlns:a16="http://schemas.microsoft.com/office/drawing/2014/main" id="{4895DA49-633D-9C70-C639-B5C46469D408}"/>
            </a:ext>
          </a:extLst>
        </xdr:cNvPr>
        <xdr:cNvSpPr txBox="1"/>
      </xdr:nvSpPr>
      <xdr:spPr>
        <a:xfrm>
          <a:off x="5892800" y="1811865"/>
          <a:ext cx="1600200" cy="55880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C9DC13-314E-484E-AEA4-C873835D33EC}" type="TxLink">
            <a:rPr lang="en-US" sz="3200" b="1" i="0" u="none" strike="noStrike">
              <a:solidFill>
                <a:srgbClr val="000000"/>
              </a:solidFill>
              <a:latin typeface="Calibri"/>
              <a:cs typeface="Calibri"/>
            </a:rPr>
            <a:pPr/>
            <a:t>10013</a:t>
          </a:fld>
          <a:endParaRPr lang="en-US" sz="4000" b="1"/>
        </a:p>
      </xdr:txBody>
    </xdr:sp>
    <xdr:clientData/>
  </xdr:twoCellAnchor>
  <xdr:twoCellAnchor>
    <xdr:from>
      <xdr:col>12</xdr:col>
      <xdr:colOff>383847</xdr:colOff>
      <xdr:row>8</xdr:row>
      <xdr:rowOff>47627</xdr:rowOff>
    </xdr:from>
    <xdr:to>
      <xdr:col>16</xdr:col>
      <xdr:colOff>429259</xdr:colOff>
      <xdr:row>13</xdr:row>
      <xdr:rowOff>5177</xdr:rowOff>
    </xdr:to>
    <xdr:sp macro="" textlink="">
      <xdr:nvSpPr>
        <xdr:cNvPr id="27" name="Rectangle: Rounded Corners 26">
          <a:extLst>
            <a:ext uri="{FF2B5EF4-FFF2-40B4-BE49-F238E27FC236}">
              <a16:creationId xmlns:a16="http://schemas.microsoft.com/office/drawing/2014/main" id="{31D6BABD-E27C-4351-7443-CDD409D56CFB}"/>
            </a:ext>
          </a:extLst>
        </xdr:cNvPr>
        <xdr:cNvSpPr/>
      </xdr:nvSpPr>
      <xdr:spPr>
        <a:xfrm>
          <a:off x="7699047" y="1537760"/>
          <a:ext cx="2483812" cy="888884"/>
        </a:xfrm>
        <a:prstGeom prst="roundRect">
          <a:avLst/>
        </a:prstGeom>
        <a:solidFill>
          <a:srgbClr val="FF000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304184</xdr:colOff>
      <xdr:row>8</xdr:row>
      <xdr:rowOff>47627</xdr:rowOff>
    </xdr:from>
    <xdr:to>
      <xdr:col>16</xdr:col>
      <xdr:colOff>429259</xdr:colOff>
      <xdr:row>13</xdr:row>
      <xdr:rowOff>5177</xdr:rowOff>
    </xdr:to>
    <xdr:sp macro="" textlink="">
      <xdr:nvSpPr>
        <xdr:cNvPr id="28" name="Rectangle: Rounded Corners 27">
          <a:extLst>
            <a:ext uri="{FF2B5EF4-FFF2-40B4-BE49-F238E27FC236}">
              <a16:creationId xmlns:a16="http://schemas.microsoft.com/office/drawing/2014/main" id="{00603BF8-45B3-7DC1-BF39-9EF83C61F9F3}"/>
            </a:ext>
          </a:extLst>
        </xdr:cNvPr>
        <xdr:cNvSpPr/>
      </xdr:nvSpPr>
      <xdr:spPr>
        <a:xfrm>
          <a:off x="8228984" y="1537760"/>
          <a:ext cx="1953875" cy="88888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465666</xdr:colOff>
      <xdr:row>9</xdr:row>
      <xdr:rowOff>35562</xdr:rowOff>
    </xdr:from>
    <xdr:to>
      <xdr:col>13</xdr:col>
      <xdr:colOff>245533</xdr:colOff>
      <xdr:row>11</xdr:row>
      <xdr:rowOff>145832</xdr:rowOff>
    </xdr:to>
    <xdr:pic>
      <xdr:nvPicPr>
        <xdr:cNvPr id="32" name="Graphic 31">
          <a:extLst>
            <a:ext uri="{FF2B5EF4-FFF2-40B4-BE49-F238E27FC236}">
              <a16:creationId xmlns:a16="http://schemas.microsoft.com/office/drawing/2014/main" id="{2D91AC02-2DCB-853D-09C3-A084520E7A4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 uri="{837473B0-CC2E-450A-ABE3-18F120FF3D39}">
              <a1611:picAttrSrcUrl xmlns:a1611="http://schemas.microsoft.com/office/drawing/2016/11/main" r:id="rId12"/>
            </a:ext>
          </a:extLst>
        </a:blip>
        <a:stretch>
          <a:fillRect/>
        </a:stretch>
      </xdr:blipFill>
      <xdr:spPr>
        <a:xfrm>
          <a:off x="7780866" y="1711962"/>
          <a:ext cx="389467" cy="482803"/>
        </a:xfrm>
        <a:prstGeom prst="rect">
          <a:avLst/>
        </a:prstGeom>
      </xdr:spPr>
    </xdr:pic>
    <xdr:clientData/>
  </xdr:twoCellAnchor>
  <xdr:twoCellAnchor>
    <xdr:from>
      <xdr:col>13</xdr:col>
      <xdr:colOff>474132</xdr:colOff>
      <xdr:row>8</xdr:row>
      <xdr:rowOff>93135</xdr:rowOff>
    </xdr:from>
    <xdr:to>
      <xdr:col>16</xdr:col>
      <xdr:colOff>347133</xdr:colOff>
      <xdr:row>10</xdr:row>
      <xdr:rowOff>93134</xdr:rowOff>
    </xdr:to>
    <xdr:sp macro="" textlink="">
      <xdr:nvSpPr>
        <xdr:cNvPr id="33" name="TextBox 32">
          <a:extLst>
            <a:ext uri="{FF2B5EF4-FFF2-40B4-BE49-F238E27FC236}">
              <a16:creationId xmlns:a16="http://schemas.microsoft.com/office/drawing/2014/main" id="{C10764C4-622D-9C5F-0E3A-326130C4A5DE}"/>
            </a:ext>
          </a:extLst>
        </xdr:cNvPr>
        <xdr:cNvSpPr txBox="1"/>
      </xdr:nvSpPr>
      <xdr:spPr>
        <a:xfrm>
          <a:off x="8398932" y="1583268"/>
          <a:ext cx="1701801" cy="3725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 ORDERS</a:t>
          </a:r>
        </a:p>
      </xdr:txBody>
    </xdr:sp>
    <xdr:clientData/>
  </xdr:twoCellAnchor>
  <xdr:twoCellAnchor>
    <xdr:from>
      <xdr:col>14</xdr:col>
      <xdr:colOff>101598</xdr:colOff>
      <xdr:row>9</xdr:row>
      <xdr:rowOff>118534</xdr:rowOff>
    </xdr:from>
    <xdr:to>
      <xdr:col>16</xdr:col>
      <xdr:colOff>584199</xdr:colOff>
      <xdr:row>12</xdr:row>
      <xdr:rowOff>135467</xdr:rowOff>
    </xdr:to>
    <xdr:sp macro="" textlink="'Pivot Table'!H15">
      <xdr:nvSpPr>
        <xdr:cNvPr id="34" name="TextBox 33">
          <a:extLst>
            <a:ext uri="{FF2B5EF4-FFF2-40B4-BE49-F238E27FC236}">
              <a16:creationId xmlns:a16="http://schemas.microsoft.com/office/drawing/2014/main" id="{D4A794B1-57A3-4C85-3F60-139430B50840}"/>
            </a:ext>
          </a:extLst>
        </xdr:cNvPr>
        <xdr:cNvSpPr txBox="1"/>
      </xdr:nvSpPr>
      <xdr:spPr>
        <a:xfrm>
          <a:off x="8635998" y="1794934"/>
          <a:ext cx="1701801" cy="575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3322C1E-ECB7-465A-BA31-2CCB01F126CF}" type="TxLink">
            <a:rPr lang="en-US" sz="3200" b="1" i="0" u="none" strike="noStrike">
              <a:solidFill>
                <a:srgbClr val="000000"/>
              </a:solidFill>
              <a:latin typeface="Calibri"/>
              <a:cs typeface="Calibri"/>
            </a:rPr>
            <a:pPr/>
            <a:t>1000</a:t>
          </a:fld>
          <a:endParaRPr lang="en-US" sz="4000" b="1"/>
        </a:p>
      </xdr:txBody>
    </xdr:sp>
    <xdr:clientData/>
  </xdr:twoCellAnchor>
  <xdr:twoCellAnchor>
    <xdr:from>
      <xdr:col>4</xdr:col>
      <xdr:colOff>53787</xdr:colOff>
      <xdr:row>17</xdr:row>
      <xdr:rowOff>89647</xdr:rowOff>
    </xdr:from>
    <xdr:to>
      <xdr:col>11</xdr:col>
      <xdr:colOff>448234</xdr:colOff>
      <xdr:row>33</xdr:row>
      <xdr:rowOff>170329</xdr:rowOff>
    </xdr:to>
    <xdr:graphicFrame macro="">
      <xdr:nvGraphicFramePr>
        <xdr:cNvPr id="5" name="Chart 4">
          <a:extLst>
            <a:ext uri="{FF2B5EF4-FFF2-40B4-BE49-F238E27FC236}">
              <a16:creationId xmlns:a16="http://schemas.microsoft.com/office/drawing/2014/main" id="{3ECE8F5E-B186-445A-B032-B35471E995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349623</xdr:colOff>
      <xdr:row>14</xdr:row>
      <xdr:rowOff>161363</xdr:rowOff>
    </xdr:from>
    <xdr:to>
      <xdr:col>8</xdr:col>
      <xdr:colOff>510988</xdr:colOff>
      <xdr:row>17</xdr:row>
      <xdr:rowOff>98610</xdr:rowOff>
    </xdr:to>
    <xdr:sp macro="" textlink="">
      <xdr:nvSpPr>
        <xdr:cNvPr id="7" name="TextBox 6">
          <a:extLst>
            <a:ext uri="{FF2B5EF4-FFF2-40B4-BE49-F238E27FC236}">
              <a16:creationId xmlns:a16="http://schemas.microsoft.com/office/drawing/2014/main" id="{11F81B55-EF16-A3D2-01A5-A3C9821D38B8}"/>
            </a:ext>
          </a:extLst>
        </xdr:cNvPr>
        <xdr:cNvSpPr txBox="1"/>
      </xdr:nvSpPr>
      <xdr:spPr>
        <a:xfrm>
          <a:off x="2788023" y="2671481"/>
          <a:ext cx="2599765" cy="475129"/>
        </a:xfrm>
        <a:prstGeom prst="roundRect">
          <a:avLst>
            <a:gd name="adj" fmla="val 50000"/>
          </a:avLst>
        </a:prstGeom>
        <a:solidFill>
          <a:srgbClr val="48599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Product Wise Performance</a:t>
          </a:r>
        </a:p>
      </xdr:txBody>
    </xdr:sp>
    <xdr:clientData/>
  </xdr:twoCellAnchor>
  <xdr:twoCellAnchor>
    <xdr:from>
      <xdr:col>12</xdr:col>
      <xdr:colOff>91143</xdr:colOff>
      <xdr:row>24</xdr:row>
      <xdr:rowOff>82176</xdr:rowOff>
    </xdr:from>
    <xdr:to>
      <xdr:col>21</xdr:col>
      <xdr:colOff>502025</xdr:colOff>
      <xdr:row>33</xdr:row>
      <xdr:rowOff>103402</xdr:rowOff>
    </xdr:to>
    <xdr:sp macro="" textlink="">
      <xdr:nvSpPr>
        <xdr:cNvPr id="15" name="Rectangle: Rounded Corners 14">
          <a:extLst>
            <a:ext uri="{FF2B5EF4-FFF2-40B4-BE49-F238E27FC236}">
              <a16:creationId xmlns:a16="http://schemas.microsoft.com/office/drawing/2014/main" id="{C40FD275-75C8-EA08-1F05-D7A3AC1F9EBC}"/>
            </a:ext>
          </a:extLst>
        </xdr:cNvPr>
        <xdr:cNvSpPr/>
      </xdr:nvSpPr>
      <xdr:spPr>
        <a:xfrm>
          <a:off x="7406343" y="4385235"/>
          <a:ext cx="5897282" cy="1634873"/>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143435</xdr:colOff>
      <xdr:row>14</xdr:row>
      <xdr:rowOff>134470</xdr:rowOff>
    </xdr:from>
    <xdr:to>
      <xdr:col>15</xdr:col>
      <xdr:colOff>502023</xdr:colOff>
      <xdr:row>16</xdr:row>
      <xdr:rowOff>143435</xdr:rowOff>
    </xdr:to>
    <xdr:sp macro="" textlink="">
      <xdr:nvSpPr>
        <xdr:cNvPr id="20" name="TextBox 19">
          <a:extLst>
            <a:ext uri="{FF2B5EF4-FFF2-40B4-BE49-F238E27FC236}">
              <a16:creationId xmlns:a16="http://schemas.microsoft.com/office/drawing/2014/main" id="{4C941B16-DD5F-4D84-7026-6FC2B7390E55}"/>
            </a:ext>
          </a:extLst>
        </xdr:cNvPr>
        <xdr:cNvSpPr txBox="1"/>
      </xdr:nvSpPr>
      <xdr:spPr>
        <a:xfrm>
          <a:off x="7458635" y="2644588"/>
          <a:ext cx="2187388" cy="367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Sale By Months</a:t>
          </a:r>
        </a:p>
      </xdr:txBody>
    </xdr:sp>
    <xdr:clientData/>
  </xdr:twoCellAnchor>
  <xdr:twoCellAnchor>
    <xdr:from>
      <xdr:col>12</xdr:col>
      <xdr:colOff>53787</xdr:colOff>
      <xdr:row>16</xdr:row>
      <xdr:rowOff>132648</xdr:rowOff>
    </xdr:from>
    <xdr:to>
      <xdr:col>21</xdr:col>
      <xdr:colOff>179294</xdr:colOff>
      <xdr:row>24</xdr:row>
      <xdr:rowOff>17928</xdr:rowOff>
    </xdr:to>
    <xdr:graphicFrame macro="">
      <xdr:nvGraphicFramePr>
        <xdr:cNvPr id="21" name="Chart 20">
          <a:extLst>
            <a:ext uri="{FF2B5EF4-FFF2-40B4-BE49-F238E27FC236}">
              <a16:creationId xmlns:a16="http://schemas.microsoft.com/office/drawing/2014/main" id="{4CB04212-FE13-420D-A0D5-0FFE5FD43A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187058</xdr:colOff>
      <xdr:row>24</xdr:row>
      <xdr:rowOff>152400</xdr:rowOff>
    </xdr:from>
    <xdr:to>
      <xdr:col>21</xdr:col>
      <xdr:colOff>280576</xdr:colOff>
      <xdr:row>33</xdr:row>
      <xdr:rowOff>51965</xdr:rowOff>
    </xdr:to>
    <xdr:graphicFrame macro="">
      <xdr:nvGraphicFramePr>
        <xdr:cNvPr id="29" name="Chart 28">
          <a:extLst>
            <a:ext uri="{FF2B5EF4-FFF2-40B4-BE49-F238E27FC236}">
              <a16:creationId xmlns:a16="http://schemas.microsoft.com/office/drawing/2014/main" id="{155613B5-0D79-4017-A343-453FCD2E9E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161364</xdr:colOff>
      <xdr:row>24</xdr:row>
      <xdr:rowOff>62752</xdr:rowOff>
    </xdr:from>
    <xdr:to>
      <xdr:col>15</xdr:col>
      <xdr:colOff>519952</xdr:colOff>
      <xdr:row>26</xdr:row>
      <xdr:rowOff>71717</xdr:rowOff>
    </xdr:to>
    <xdr:sp macro="" textlink="">
      <xdr:nvSpPr>
        <xdr:cNvPr id="30" name="TextBox 29">
          <a:extLst>
            <a:ext uri="{FF2B5EF4-FFF2-40B4-BE49-F238E27FC236}">
              <a16:creationId xmlns:a16="http://schemas.microsoft.com/office/drawing/2014/main" id="{40F49697-A36C-F64F-47E7-C8425B99B2B7}"/>
            </a:ext>
          </a:extLst>
        </xdr:cNvPr>
        <xdr:cNvSpPr txBox="1"/>
      </xdr:nvSpPr>
      <xdr:spPr>
        <a:xfrm>
          <a:off x="7476564" y="4365811"/>
          <a:ext cx="2187388" cy="367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Sale By Region</a:t>
          </a:r>
        </a:p>
      </xdr:txBody>
    </xdr:sp>
    <xdr:clientData/>
  </xdr:twoCellAnchor>
  <xdr:twoCellAnchor editAs="oneCell">
    <xdr:from>
      <xdr:col>22</xdr:col>
      <xdr:colOff>133910</xdr:colOff>
      <xdr:row>1</xdr:row>
      <xdr:rowOff>103095</xdr:rowOff>
    </xdr:from>
    <xdr:to>
      <xdr:col>25</xdr:col>
      <xdr:colOff>133910</xdr:colOff>
      <xdr:row>9</xdr:row>
      <xdr:rowOff>116542</xdr:rowOff>
    </xdr:to>
    <mc:AlternateContent xmlns:mc="http://schemas.openxmlformats.org/markup-compatibility/2006" xmlns:a14="http://schemas.microsoft.com/office/drawing/2010/main">
      <mc:Choice Requires="a14">
        <xdr:graphicFrame macro="">
          <xdr:nvGraphicFramePr>
            <xdr:cNvPr id="40" name="Region">
              <a:extLst>
                <a:ext uri="{FF2B5EF4-FFF2-40B4-BE49-F238E27FC236}">
                  <a16:creationId xmlns:a16="http://schemas.microsoft.com/office/drawing/2014/main" id="{205F94A7-26F7-41D6-BB7E-46ABB8C0E8A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545110" y="282389"/>
              <a:ext cx="1828800"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493060</xdr:colOff>
      <xdr:row>1</xdr:row>
      <xdr:rowOff>134471</xdr:rowOff>
    </xdr:from>
    <xdr:to>
      <xdr:col>21</xdr:col>
      <xdr:colOff>484094</xdr:colOff>
      <xdr:row>5</xdr:row>
      <xdr:rowOff>35859</xdr:rowOff>
    </xdr:to>
    <mc:AlternateContent xmlns:mc="http://schemas.openxmlformats.org/markup-compatibility/2006" xmlns:a14="http://schemas.microsoft.com/office/drawing/2010/main">
      <mc:Choice Requires="a14">
        <xdr:graphicFrame macro="">
          <xdr:nvGraphicFramePr>
            <xdr:cNvPr id="41" name="Product">
              <a:extLst>
                <a:ext uri="{FF2B5EF4-FFF2-40B4-BE49-F238E27FC236}">
                  <a16:creationId xmlns:a16="http://schemas.microsoft.com/office/drawing/2014/main" id="{84C3B16C-D173-43A7-966F-CE20D7453F7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198660" y="313765"/>
              <a:ext cx="6087034" cy="6185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277906</xdr:colOff>
      <xdr:row>21</xdr:row>
      <xdr:rowOff>71719</xdr:rowOff>
    </xdr:from>
    <xdr:to>
      <xdr:col>3</xdr:col>
      <xdr:colOff>215153</xdr:colOff>
      <xdr:row>24</xdr:row>
      <xdr:rowOff>89648</xdr:rowOff>
    </xdr:to>
    <xdr:sp macro="" textlink="">
      <xdr:nvSpPr>
        <xdr:cNvPr id="45" name="Rectangle: Rounded Corners 44">
          <a:hlinkClick xmlns:r="http://schemas.openxmlformats.org/officeDocument/2006/relationships" r:id="rId16"/>
          <a:extLst>
            <a:ext uri="{FF2B5EF4-FFF2-40B4-BE49-F238E27FC236}">
              <a16:creationId xmlns:a16="http://schemas.microsoft.com/office/drawing/2014/main" id="{75797551-2881-A104-0461-B2DF5839BB49}"/>
            </a:ext>
          </a:extLst>
        </xdr:cNvPr>
        <xdr:cNvSpPr/>
      </xdr:nvSpPr>
      <xdr:spPr>
        <a:xfrm>
          <a:off x="277906" y="3836895"/>
          <a:ext cx="1766047" cy="555812"/>
        </a:xfrm>
        <a:prstGeom prst="roundRect">
          <a:avLst>
            <a:gd name="adj" fmla="val 28494"/>
          </a:avLst>
        </a:prstGeom>
        <a:no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xdr:col>
      <xdr:colOff>71718</xdr:colOff>
      <xdr:row>21</xdr:row>
      <xdr:rowOff>170330</xdr:rowOff>
    </xdr:from>
    <xdr:to>
      <xdr:col>3</xdr:col>
      <xdr:colOff>206188</xdr:colOff>
      <xdr:row>23</xdr:row>
      <xdr:rowOff>143435</xdr:rowOff>
    </xdr:to>
    <xdr:sp macro="" textlink="">
      <xdr:nvSpPr>
        <xdr:cNvPr id="46" name="TextBox 45">
          <a:extLst>
            <a:ext uri="{FF2B5EF4-FFF2-40B4-BE49-F238E27FC236}">
              <a16:creationId xmlns:a16="http://schemas.microsoft.com/office/drawing/2014/main" id="{055071CE-B066-0174-4F52-51C9C8248E31}"/>
            </a:ext>
          </a:extLst>
        </xdr:cNvPr>
        <xdr:cNvSpPr txBox="1"/>
      </xdr:nvSpPr>
      <xdr:spPr>
        <a:xfrm>
          <a:off x="681318" y="3935506"/>
          <a:ext cx="1353670" cy="331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ABOUT</a:t>
          </a:r>
          <a:endParaRPr lang="en-US" sz="1100" b="1">
            <a:solidFill>
              <a:schemeClr val="bg1"/>
            </a:solidFill>
          </a:endParaRPr>
        </a:p>
      </xdr:txBody>
    </xdr:sp>
    <xdr:clientData/>
  </xdr:twoCellAnchor>
  <xdr:twoCellAnchor editAs="oneCell">
    <xdr:from>
      <xdr:col>18</xdr:col>
      <xdr:colOff>499533</xdr:colOff>
      <xdr:row>5</xdr:row>
      <xdr:rowOff>67732</xdr:rowOff>
    </xdr:from>
    <xdr:to>
      <xdr:col>21</xdr:col>
      <xdr:colOff>499533</xdr:colOff>
      <xdr:row>11</xdr:row>
      <xdr:rowOff>93133</xdr:rowOff>
    </xdr:to>
    <mc:AlternateContent xmlns:mc="http://schemas.openxmlformats.org/markup-compatibility/2006" xmlns:a14="http://schemas.microsoft.com/office/drawing/2010/main">
      <mc:Choice Requires="a14">
        <xdr:graphicFrame macro="">
          <xdr:nvGraphicFramePr>
            <xdr:cNvPr id="42" name="Years (Date)">
              <a:extLst>
                <a:ext uri="{FF2B5EF4-FFF2-40B4-BE49-F238E27FC236}">
                  <a16:creationId xmlns:a16="http://schemas.microsoft.com/office/drawing/2014/main" id="{9275FD39-673F-481F-BA3F-EFB044C10363}"/>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1472333" y="999065"/>
              <a:ext cx="1828800" cy="1143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194733</xdr:colOff>
      <xdr:row>20</xdr:row>
      <xdr:rowOff>59267</xdr:rowOff>
    </xdr:from>
    <xdr:to>
      <xdr:col>27</xdr:col>
      <xdr:colOff>499533</xdr:colOff>
      <xdr:row>35</xdr:row>
      <xdr:rowOff>8467</xdr:rowOff>
    </xdr:to>
    <xdr:graphicFrame macro="">
      <xdr:nvGraphicFramePr>
        <xdr:cNvPr id="43" name="Chart 42">
          <a:extLst>
            <a:ext uri="{FF2B5EF4-FFF2-40B4-BE49-F238E27FC236}">
              <a16:creationId xmlns:a16="http://schemas.microsoft.com/office/drawing/2014/main" id="{0AC26BD7-3F2C-4F5C-A442-1E306C97B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22</xdr:col>
      <xdr:colOff>465051</xdr:colOff>
      <xdr:row>18</xdr:row>
      <xdr:rowOff>106894</xdr:rowOff>
    </xdr:from>
    <xdr:to>
      <xdr:col>25</xdr:col>
      <xdr:colOff>203200</xdr:colOff>
      <xdr:row>21</xdr:row>
      <xdr:rowOff>16934</xdr:rowOff>
    </xdr:to>
    <xdr:sp macro="" textlink="">
      <xdr:nvSpPr>
        <xdr:cNvPr id="44" name="Rectangle: Rounded Corners 43">
          <a:extLst>
            <a:ext uri="{FF2B5EF4-FFF2-40B4-BE49-F238E27FC236}">
              <a16:creationId xmlns:a16="http://schemas.microsoft.com/office/drawing/2014/main" id="{26602FCB-274C-D6E3-3F18-A9E30280E2A6}"/>
            </a:ext>
          </a:extLst>
        </xdr:cNvPr>
        <xdr:cNvSpPr/>
      </xdr:nvSpPr>
      <xdr:spPr>
        <a:xfrm>
          <a:off x="13876251" y="3459694"/>
          <a:ext cx="1566949" cy="46884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YEAR WISE %</a:t>
          </a:r>
          <a:endParaRPr lang="en-US" sz="1400" b="1">
            <a:solidFill>
              <a:schemeClr val="tx1"/>
            </a:solidFill>
          </a:endParaRPr>
        </a:p>
      </xdr:txBody>
    </xdr:sp>
    <xdr:clientData/>
  </xdr:twoCellAnchor>
  <xdr:twoCellAnchor>
    <xdr:from>
      <xdr:col>3</xdr:col>
      <xdr:colOff>491066</xdr:colOff>
      <xdr:row>1</xdr:row>
      <xdr:rowOff>118533</xdr:rowOff>
    </xdr:from>
    <xdr:to>
      <xdr:col>11</xdr:col>
      <xdr:colOff>404690</xdr:colOff>
      <xdr:row>4</xdr:row>
      <xdr:rowOff>142509</xdr:rowOff>
    </xdr:to>
    <xdr:sp macro="" textlink="">
      <xdr:nvSpPr>
        <xdr:cNvPr id="31" name="Rectangle: Rounded Corners 30">
          <a:extLst>
            <a:ext uri="{FF2B5EF4-FFF2-40B4-BE49-F238E27FC236}">
              <a16:creationId xmlns:a16="http://schemas.microsoft.com/office/drawing/2014/main" id="{EC7F27DC-3D45-419A-B437-EE127FFE8305}"/>
            </a:ext>
          </a:extLst>
        </xdr:cNvPr>
        <xdr:cNvSpPr/>
      </xdr:nvSpPr>
      <xdr:spPr>
        <a:xfrm>
          <a:off x="2319866" y="304800"/>
          <a:ext cx="4790424" cy="582776"/>
        </a:xfrm>
        <a:prstGeom prst="roundRect">
          <a:avLst>
            <a:gd name="adj" fmla="val 50000"/>
          </a:avLst>
        </a:prstGeom>
        <a:solidFill>
          <a:srgbClr val="48599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1">
              <a:solidFill>
                <a:schemeClr val="bg1"/>
              </a:solidFill>
              <a:latin typeface="Arial Black" panose="020B0A04020102020204" pitchFamily="34" charset="0"/>
            </a:rPr>
            <a:t> SALES DATA DASHBOARD</a:t>
          </a:r>
        </a:p>
      </xdr:txBody>
    </xdr:sp>
    <xdr:clientData/>
  </xdr:twoCellAnchor>
  <xdr:twoCellAnchor>
    <xdr:from>
      <xdr:col>10</xdr:col>
      <xdr:colOff>67733</xdr:colOff>
      <xdr:row>3</xdr:row>
      <xdr:rowOff>110067</xdr:rowOff>
    </xdr:from>
    <xdr:to>
      <xdr:col>11</xdr:col>
      <xdr:colOff>465666</xdr:colOff>
      <xdr:row>5</xdr:row>
      <xdr:rowOff>8467</xdr:rowOff>
    </xdr:to>
    <xdr:sp macro="" textlink="">
      <xdr:nvSpPr>
        <xdr:cNvPr id="35" name="TextBox 34">
          <a:extLst>
            <a:ext uri="{FF2B5EF4-FFF2-40B4-BE49-F238E27FC236}">
              <a16:creationId xmlns:a16="http://schemas.microsoft.com/office/drawing/2014/main" id="{0B7FF816-1BCC-5455-822B-AAE267D2AC1F}"/>
            </a:ext>
          </a:extLst>
        </xdr:cNvPr>
        <xdr:cNvSpPr txBox="1"/>
      </xdr:nvSpPr>
      <xdr:spPr>
        <a:xfrm>
          <a:off x="6163733" y="668867"/>
          <a:ext cx="1007533" cy="270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Magneto" panose="04030805050802020D02" pitchFamily="82" charset="0"/>
            </a:rPr>
            <a:t>2023-25</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142875</xdr:colOff>
      <xdr:row>0</xdr:row>
      <xdr:rowOff>76200</xdr:rowOff>
    </xdr:from>
    <xdr:to>
      <xdr:col>26</xdr:col>
      <xdr:colOff>35859</xdr:colOff>
      <xdr:row>34</xdr:row>
      <xdr:rowOff>177800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BBE9D261-01DB-48E4-B175-F914B43C53EA}"/>
            </a:ext>
          </a:extLst>
        </xdr:cNvPr>
        <xdr:cNvSpPr/>
      </xdr:nvSpPr>
      <xdr:spPr>
        <a:xfrm>
          <a:off x="142875" y="76200"/>
          <a:ext cx="15742584" cy="6197600"/>
        </a:xfrm>
        <a:prstGeom prst="roundRect">
          <a:avLst>
            <a:gd name="adj" fmla="val 3201"/>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3</xdr:col>
      <xdr:colOff>393246</xdr:colOff>
      <xdr:row>1</xdr:row>
      <xdr:rowOff>36028</xdr:rowOff>
    </xdr:from>
    <xdr:to>
      <xdr:col>22</xdr:col>
      <xdr:colOff>12246</xdr:colOff>
      <xdr:row>34</xdr:row>
      <xdr:rowOff>76698</xdr:rowOff>
    </xdr:to>
    <xdr:sp macro="" textlink="">
      <xdr:nvSpPr>
        <xdr:cNvPr id="3" name="Rectangle: Rounded Corners 2">
          <a:extLst>
            <a:ext uri="{FF2B5EF4-FFF2-40B4-BE49-F238E27FC236}">
              <a16:creationId xmlns:a16="http://schemas.microsoft.com/office/drawing/2014/main" id="{0CFA9ACE-CA06-4443-8FEB-5467D5F646EB}"/>
            </a:ext>
          </a:extLst>
        </xdr:cNvPr>
        <xdr:cNvSpPr/>
      </xdr:nvSpPr>
      <xdr:spPr>
        <a:xfrm>
          <a:off x="2222046" y="215322"/>
          <a:ext cx="11201400" cy="5957376"/>
        </a:xfrm>
        <a:prstGeom prst="roundRect">
          <a:avLst>
            <a:gd name="adj" fmla="val 3782"/>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200"/>
            <a:t>   </a:t>
          </a:r>
          <a:r>
            <a:rPr lang="en-US" sz="1100" b="1">
              <a:solidFill>
                <a:schemeClr val="lt1"/>
              </a:solidFill>
              <a:effectLst>
                <a:outerShdw blurRad="38100" dist="19050" dir="2700000" algn="tl" rotWithShape="0">
                  <a:schemeClr val="dk1">
                    <a:alpha val="40000"/>
                  </a:schemeClr>
                </a:outerShdw>
              </a:effectLst>
              <a:latin typeface="+mn-lt"/>
              <a:ea typeface="+mn-ea"/>
              <a:cs typeface="+mn-cs"/>
            </a:rPr>
            <a:t>Analytics</a:t>
          </a:r>
          <a:endParaRPr lang="en-US" sz="1200">
            <a:effectLst/>
          </a:endParaRPr>
        </a:p>
        <a:p>
          <a:pPr algn="l"/>
          <a:r>
            <a:rPr lang="en-US" sz="1200"/>
            <a:t> </a:t>
          </a:r>
        </a:p>
      </xdr:txBody>
    </xdr:sp>
    <xdr:clientData/>
  </xdr:twoCellAnchor>
  <xdr:twoCellAnchor>
    <xdr:from>
      <xdr:col>8</xdr:col>
      <xdr:colOff>180647</xdr:colOff>
      <xdr:row>8</xdr:row>
      <xdr:rowOff>56093</xdr:rowOff>
    </xdr:from>
    <xdr:to>
      <xdr:col>12</xdr:col>
      <xdr:colOff>226059</xdr:colOff>
      <xdr:row>13</xdr:row>
      <xdr:rowOff>13643</xdr:rowOff>
    </xdr:to>
    <xdr:sp macro="" textlink="">
      <xdr:nvSpPr>
        <xdr:cNvPr id="4" name="Rectangle: Rounded Corners 3">
          <a:extLst>
            <a:ext uri="{FF2B5EF4-FFF2-40B4-BE49-F238E27FC236}">
              <a16:creationId xmlns:a16="http://schemas.microsoft.com/office/drawing/2014/main" id="{567D1B91-89F2-4F52-9CDD-D938A6AD25D5}"/>
            </a:ext>
          </a:extLst>
        </xdr:cNvPr>
        <xdr:cNvSpPr/>
      </xdr:nvSpPr>
      <xdr:spPr>
        <a:xfrm>
          <a:off x="5057447" y="1519133"/>
          <a:ext cx="2483812" cy="871950"/>
        </a:xfrm>
        <a:prstGeom prst="roundRect">
          <a:avLst/>
        </a:prstGeom>
        <a:solidFill>
          <a:srgbClr val="FFC00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100984</xdr:colOff>
      <xdr:row>8</xdr:row>
      <xdr:rowOff>56093</xdr:rowOff>
    </xdr:from>
    <xdr:to>
      <xdr:col>12</xdr:col>
      <xdr:colOff>226059</xdr:colOff>
      <xdr:row>13</xdr:row>
      <xdr:rowOff>13643</xdr:rowOff>
    </xdr:to>
    <xdr:sp macro="" textlink="">
      <xdr:nvSpPr>
        <xdr:cNvPr id="5" name="Rectangle: Rounded Corners 4">
          <a:extLst>
            <a:ext uri="{FF2B5EF4-FFF2-40B4-BE49-F238E27FC236}">
              <a16:creationId xmlns:a16="http://schemas.microsoft.com/office/drawing/2014/main" id="{B03FD488-3D47-4DA5-A9FE-59598A4A5BF4}"/>
            </a:ext>
          </a:extLst>
        </xdr:cNvPr>
        <xdr:cNvSpPr/>
      </xdr:nvSpPr>
      <xdr:spPr>
        <a:xfrm>
          <a:off x="5587384" y="1519133"/>
          <a:ext cx="1953875" cy="8719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535109</xdr:colOff>
      <xdr:row>1</xdr:row>
      <xdr:rowOff>124153</xdr:rowOff>
    </xdr:from>
    <xdr:to>
      <xdr:col>11</xdr:col>
      <xdr:colOff>448733</xdr:colOff>
      <xdr:row>4</xdr:row>
      <xdr:rowOff>148129</xdr:rowOff>
    </xdr:to>
    <xdr:sp macro="" textlink="">
      <xdr:nvSpPr>
        <xdr:cNvPr id="7" name="Rectangle: Rounded Corners 6">
          <a:extLst>
            <a:ext uri="{FF2B5EF4-FFF2-40B4-BE49-F238E27FC236}">
              <a16:creationId xmlns:a16="http://schemas.microsoft.com/office/drawing/2014/main" id="{470381D9-FAC9-45FA-B2CB-0A69F385677C}"/>
            </a:ext>
          </a:extLst>
        </xdr:cNvPr>
        <xdr:cNvSpPr/>
      </xdr:nvSpPr>
      <xdr:spPr>
        <a:xfrm>
          <a:off x="2363909" y="307033"/>
          <a:ext cx="4790424" cy="572616"/>
        </a:xfrm>
        <a:prstGeom prst="roundRect">
          <a:avLst>
            <a:gd name="adj" fmla="val 50000"/>
          </a:avLst>
        </a:prstGeom>
        <a:solidFill>
          <a:srgbClr val="48599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1">
              <a:solidFill>
                <a:schemeClr val="bg1"/>
              </a:solidFill>
              <a:latin typeface="Arial Black" panose="020B0A04020102020204" pitchFamily="34" charset="0"/>
            </a:rPr>
            <a:t> SALES DATA DASHBOARD</a:t>
          </a:r>
        </a:p>
      </xdr:txBody>
    </xdr:sp>
    <xdr:clientData/>
  </xdr:twoCellAnchor>
  <xdr:twoCellAnchor>
    <xdr:from>
      <xdr:col>0</xdr:col>
      <xdr:colOff>289576</xdr:colOff>
      <xdr:row>9</xdr:row>
      <xdr:rowOff>175956</xdr:rowOff>
    </xdr:from>
    <xdr:to>
      <xdr:col>3</xdr:col>
      <xdr:colOff>191601</xdr:colOff>
      <xdr:row>13</xdr:row>
      <xdr:rowOff>17053</xdr:rowOff>
    </xdr:to>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35C86644-ABF1-4949-AEDB-91EF12128F5D}"/>
            </a:ext>
          </a:extLst>
        </xdr:cNvPr>
        <xdr:cNvSpPr/>
      </xdr:nvSpPr>
      <xdr:spPr>
        <a:xfrm>
          <a:off x="289576" y="1821876"/>
          <a:ext cx="1730825" cy="572617"/>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rgbClr val="FFFFFF"/>
              </a:solidFill>
            </a:rPr>
            <a:t>PRODUCTS</a:t>
          </a:r>
        </a:p>
      </xdr:txBody>
    </xdr:sp>
    <xdr:clientData/>
  </xdr:twoCellAnchor>
  <xdr:twoCellAnchor>
    <xdr:from>
      <xdr:col>0</xdr:col>
      <xdr:colOff>289576</xdr:colOff>
      <xdr:row>13</xdr:row>
      <xdr:rowOff>148660</xdr:rowOff>
    </xdr:from>
    <xdr:to>
      <xdr:col>3</xdr:col>
      <xdr:colOff>191601</xdr:colOff>
      <xdr:row>16</xdr:row>
      <xdr:rowOff>172634</xdr:rowOff>
    </xdr:to>
    <xdr:sp macro="" textlink="">
      <xdr:nvSpPr>
        <xdr:cNvPr id="9" name="Rectangle: Rounded Corners 8">
          <a:extLst>
            <a:ext uri="{FF2B5EF4-FFF2-40B4-BE49-F238E27FC236}">
              <a16:creationId xmlns:a16="http://schemas.microsoft.com/office/drawing/2014/main" id="{7DED0E06-4925-4138-A20F-C3977E955F71}"/>
            </a:ext>
          </a:extLst>
        </xdr:cNvPr>
        <xdr:cNvSpPr/>
      </xdr:nvSpPr>
      <xdr:spPr>
        <a:xfrm>
          <a:off x="289576" y="2526100"/>
          <a:ext cx="1730825" cy="572614"/>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rPr>
            <a:t>SALESMANS</a:t>
          </a:r>
        </a:p>
      </xdr:txBody>
    </xdr:sp>
    <xdr:clientData/>
  </xdr:twoCellAnchor>
  <xdr:twoCellAnchor>
    <xdr:from>
      <xdr:col>0</xdr:col>
      <xdr:colOff>289576</xdr:colOff>
      <xdr:row>17</xdr:row>
      <xdr:rowOff>120149</xdr:rowOff>
    </xdr:from>
    <xdr:to>
      <xdr:col>3</xdr:col>
      <xdr:colOff>191601</xdr:colOff>
      <xdr:row>20</xdr:row>
      <xdr:rowOff>145336</xdr:rowOff>
    </xdr:to>
    <xdr:sp macro="" textlink="">
      <xdr:nvSpPr>
        <xdr:cNvPr id="10" name="Rectangle: Rounded Corners 9">
          <a:extLst>
            <a:ext uri="{FF2B5EF4-FFF2-40B4-BE49-F238E27FC236}">
              <a16:creationId xmlns:a16="http://schemas.microsoft.com/office/drawing/2014/main" id="{A7E6CCED-700B-44C9-BB40-C9AF0F08BB2A}"/>
            </a:ext>
          </a:extLst>
        </xdr:cNvPr>
        <xdr:cNvSpPr/>
      </xdr:nvSpPr>
      <xdr:spPr>
        <a:xfrm>
          <a:off x="289576" y="3229109"/>
          <a:ext cx="1730825" cy="573827"/>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rgbClr val="FFFFFF"/>
              </a:solidFill>
            </a:rPr>
            <a:t>REGION</a:t>
          </a:r>
        </a:p>
      </xdr:txBody>
    </xdr:sp>
    <xdr:clientData/>
  </xdr:twoCellAnchor>
  <xdr:twoCellAnchor>
    <xdr:from>
      <xdr:col>3</xdr:col>
      <xdr:colOff>507771</xdr:colOff>
      <xdr:row>14</xdr:row>
      <xdr:rowOff>80682</xdr:rowOff>
    </xdr:from>
    <xdr:to>
      <xdr:col>11</xdr:col>
      <xdr:colOff>528918</xdr:colOff>
      <xdr:row>33</xdr:row>
      <xdr:rowOff>139758</xdr:rowOff>
    </xdr:to>
    <xdr:sp macro="" textlink="">
      <xdr:nvSpPr>
        <xdr:cNvPr id="12" name="Rectangle: Rounded Corners 11">
          <a:extLst>
            <a:ext uri="{FF2B5EF4-FFF2-40B4-BE49-F238E27FC236}">
              <a16:creationId xmlns:a16="http://schemas.microsoft.com/office/drawing/2014/main" id="{81F62B55-89BA-4071-8180-1014A12CE5AC}"/>
            </a:ext>
          </a:extLst>
        </xdr:cNvPr>
        <xdr:cNvSpPr/>
      </xdr:nvSpPr>
      <xdr:spPr>
        <a:xfrm>
          <a:off x="2336571" y="2641002"/>
          <a:ext cx="4897947" cy="3533796"/>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55284</xdr:colOff>
      <xdr:row>14</xdr:row>
      <xdr:rowOff>109070</xdr:rowOff>
    </xdr:from>
    <xdr:to>
      <xdr:col>21</xdr:col>
      <xdr:colOff>466166</xdr:colOff>
      <xdr:row>23</xdr:row>
      <xdr:rowOff>130296</xdr:rowOff>
    </xdr:to>
    <xdr:sp macro="" textlink="">
      <xdr:nvSpPr>
        <xdr:cNvPr id="13" name="Rectangle: Rounded Corners 12">
          <a:extLst>
            <a:ext uri="{FF2B5EF4-FFF2-40B4-BE49-F238E27FC236}">
              <a16:creationId xmlns:a16="http://schemas.microsoft.com/office/drawing/2014/main" id="{69D621EA-45AB-4625-9645-9B9599C1DBE2}"/>
            </a:ext>
          </a:extLst>
        </xdr:cNvPr>
        <xdr:cNvSpPr/>
      </xdr:nvSpPr>
      <xdr:spPr>
        <a:xfrm>
          <a:off x="7370484" y="2669390"/>
          <a:ext cx="5897282" cy="1667146"/>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587682</xdr:colOff>
      <xdr:row>8</xdr:row>
      <xdr:rowOff>50798</xdr:rowOff>
    </xdr:from>
    <xdr:to>
      <xdr:col>21</xdr:col>
      <xdr:colOff>23495</xdr:colOff>
      <xdr:row>13</xdr:row>
      <xdr:rowOff>1773</xdr:rowOff>
    </xdr:to>
    <xdr:sp macro="" textlink="">
      <xdr:nvSpPr>
        <xdr:cNvPr id="14" name="Rectangle: Rounded Corners 13">
          <a:extLst>
            <a:ext uri="{FF2B5EF4-FFF2-40B4-BE49-F238E27FC236}">
              <a16:creationId xmlns:a16="http://schemas.microsoft.com/office/drawing/2014/main" id="{20F80DD2-3C36-4FC2-9001-57D882A799BF}"/>
            </a:ext>
          </a:extLst>
        </xdr:cNvPr>
        <xdr:cNvSpPr/>
      </xdr:nvSpPr>
      <xdr:spPr>
        <a:xfrm>
          <a:off x="10341282" y="1485151"/>
          <a:ext cx="2483813" cy="847446"/>
        </a:xfrm>
        <a:prstGeom prst="roundRect">
          <a:avLst/>
        </a:prstGeom>
        <a:solidFill>
          <a:srgbClr val="00B05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502520</xdr:colOff>
      <xdr:row>8</xdr:row>
      <xdr:rowOff>42331</xdr:rowOff>
    </xdr:from>
    <xdr:to>
      <xdr:col>21</xdr:col>
      <xdr:colOff>17995</xdr:colOff>
      <xdr:row>13</xdr:row>
      <xdr:rowOff>6853</xdr:rowOff>
    </xdr:to>
    <xdr:sp macro="" textlink="">
      <xdr:nvSpPr>
        <xdr:cNvPr id="15" name="Rectangle: Rounded Corners 14">
          <a:extLst>
            <a:ext uri="{FF2B5EF4-FFF2-40B4-BE49-F238E27FC236}">
              <a16:creationId xmlns:a16="http://schemas.microsoft.com/office/drawing/2014/main" id="{8A889349-8885-4160-BB1C-B3E2042E73B8}"/>
            </a:ext>
          </a:extLst>
        </xdr:cNvPr>
        <xdr:cNvSpPr/>
      </xdr:nvSpPr>
      <xdr:spPr>
        <a:xfrm>
          <a:off x="10865720" y="1476684"/>
          <a:ext cx="1953875" cy="86099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17</xdr:col>
      <xdr:colOff>36853</xdr:colOff>
      <xdr:row>8</xdr:row>
      <xdr:rowOff>160865</xdr:rowOff>
    </xdr:from>
    <xdr:to>
      <xdr:col>17</xdr:col>
      <xdr:colOff>578949</xdr:colOff>
      <xdr:row>12</xdr:row>
      <xdr:rowOff>93962</xdr:rowOff>
    </xdr:to>
    <xdr:pic>
      <xdr:nvPicPr>
        <xdr:cNvPr id="16" name="Picture 15">
          <a:extLst>
            <a:ext uri="{FF2B5EF4-FFF2-40B4-BE49-F238E27FC236}">
              <a16:creationId xmlns:a16="http://schemas.microsoft.com/office/drawing/2014/main" id="{58884F14-517A-40DF-A03A-0D9CD880488B}"/>
            </a:ext>
          </a:extLst>
        </xdr:cNvPr>
        <xdr:cNvPicPr>
          <a:picLocks noChangeAspect="1"/>
        </xdr:cNvPicPr>
      </xdr:nvPicPr>
      <xdr:blipFill>
        <a:blip xmlns:r="http://schemas.openxmlformats.org/officeDocument/2006/relationships" r:embed="rId3" cstate="print">
          <a:duotone>
            <a:prstClr val="black"/>
            <a:srgbClr val="00B050">
              <a:tint val="45000"/>
              <a:satMod val="400000"/>
            </a:srgbClr>
          </a:duotone>
          <a:extLst>
            <a:ext uri="{BEBA8EAE-BF5A-486C-A8C5-ECC9F3942E4B}">
              <a14:imgProps xmlns:a14="http://schemas.microsoft.com/office/drawing/2010/main">
                <a14:imgLayer r:embed="rId4">
                  <a14:imgEffect>
                    <a14:backgroundRemoval t="2036" b="95929" l="3438" r="93125">
                      <a14:foregroundMark x1="54375" y1="52672" x2="54375" y2="52672"/>
                    </a14:backgroundRemoval>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10400053" y="1595218"/>
          <a:ext cx="542096" cy="650273"/>
        </a:xfrm>
        <a:prstGeom prst="rect">
          <a:avLst/>
        </a:prstGeom>
      </xdr:spPr>
    </xdr:pic>
    <xdr:clientData/>
  </xdr:twoCellAnchor>
  <xdr:twoCellAnchor>
    <xdr:from>
      <xdr:col>17</xdr:col>
      <xdr:colOff>595655</xdr:colOff>
      <xdr:row>8</xdr:row>
      <xdr:rowOff>59267</xdr:rowOff>
    </xdr:from>
    <xdr:to>
      <xdr:col>20</xdr:col>
      <xdr:colOff>240055</xdr:colOff>
      <xdr:row>10</xdr:row>
      <xdr:rowOff>16933</xdr:rowOff>
    </xdr:to>
    <xdr:sp macro="" textlink="">
      <xdr:nvSpPr>
        <xdr:cNvPr id="18" name="TextBox 17">
          <a:extLst>
            <a:ext uri="{FF2B5EF4-FFF2-40B4-BE49-F238E27FC236}">
              <a16:creationId xmlns:a16="http://schemas.microsoft.com/office/drawing/2014/main" id="{509D5686-391D-45E0-9DC1-4190983816C7}"/>
            </a:ext>
          </a:extLst>
        </xdr:cNvPr>
        <xdr:cNvSpPr txBox="1"/>
      </xdr:nvSpPr>
      <xdr:spPr>
        <a:xfrm>
          <a:off x="10958855" y="1493620"/>
          <a:ext cx="1473200" cy="3162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a:t>
          </a:r>
          <a:r>
            <a:rPr lang="en-US" sz="1400" b="1" baseline="0"/>
            <a:t> REVENUE</a:t>
          </a:r>
          <a:endParaRPr lang="en-US" sz="1400" b="1"/>
        </a:p>
      </xdr:txBody>
    </xdr:sp>
    <xdr:clientData/>
  </xdr:twoCellAnchor>
  <xdr:twoCellAnchor>
    <xdr:from>
      <xdr:col>9</xdr:col>
      <xdr:colOff>220133</xdr:colOff>
      <xdr:row>8</xdr:row>
      <xdr:rowOff>84665</xdr:rowOff>
    </xdr:from>
    <xdr:to>
      <xdr:col>11</xdr:col>
      <xdr:colOff>601133</xdr:colOff>
      <xdr:row>10</xdr:row>
      <xdr:rowOff>8464</xdr:rowOff>
    </xdr:to>
    <xdr:sp macro="" textlink="">
      <xdr:nvSpPr>
        <xdr:cNvPr id="20" name="TextBox 19">
          <a:extLst>
            <a:ext uri="{FF2B5EF4-FFF2-40B4-BE49-F238E27FC236}">
              <a16:creationId xmlns:a16="http://schemas.microsoft.com/office/drawing/2014/main" id="{32B77D53-CA3C-432F-B468-70CAA1ECD663}"/>
            </a:ext>
          </a:extLst>
        </xdr:cNvPr>
        <xdr:cNvSpPr txBox="1"/>
      </xdr:nvSpPr>
      <xdr:spPr>
        <a:xfrm>
          <a:off x="5706533" y="1547705"/>
          <a:ext cx="1600200" cy="2895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TOP</a:t>
          </a:r>
          <a:r>
            <a:rPr lang="en-US" sz="1400" b="1" baseline="0"/>
            <a:t> PERFORMER</a:t>
          </a:r>
          <a:endParaRPr lang="en-US" sz="1400" b="1"/>
        </a:p>
      </xdr:txBody>
    </xdr:sp>
    <xdr:clientData/>
  </xdr:twoCellAnchor>
  <xdr:twoCellAnchor>
    <xdr:from>
      <xdr:col>12</xdr:col>
      <xdr:colOff>383847</xdr:colOff>
      <xdr:row>8</xdr:row>
      <xdr:rowOff>47627</xdr:rowOff>
    </xdr:from>
    <xdr:to>
      <xdr:col>16</xdr:col>
      <xdr:colOff>429259</xdr:colOff>
      <xdr:row>13</xdr:row>
      <xdr:rowOff>5177</xdr:rowOff>
    </xdr:to>
    <xdr:sp macro="" textlink="">
      <xdr:nvSpPr>
        <xdr:cNvPr id="22" name="Rectangle: Rounded Corners 21">
          <a:extLst>
            <a:ext uri="{FF2B5EF4-FFF2-40B4-BE49-F238E27FC236}">
              <a16:creationId xmlns:a16="http://schemas.microsoft.com/office/drawing/2014/main" id="{06870DC1-433D-4091-9301-351108F689CD}"/>
            </a:ext>
          </a:extLst>
        </xdr:cNvPr>
        <xdr:cNvSpPr/>
      </xdr:nvSpPr>
      <xdr:spPr>
        <a:xfrm>
          <a:off x="7699047" y="1510667"/>
          <a:ext cx="2483812" cy="871950"/>
        </a:xfrm>
        <a:prstGeom prst="roundRect">
          <a:avLst/>
        </a:prstGeom>
        <a:solidFill>
          <a:srgbClr val="FF000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304184</xdr:colOff>
      <xdr:row>8</xdr:row>
      <xdr:rowOff>47627</xdr:rowOff>
    </xdr:from>
    <xdr:to>
      <xdr:col>16</xdr:col>
      <xdr:colOff>429259</xdr:colOff>
      <xdr:row>13</xdr:row>
      <xdr:rowOff>5177</xdr:rowOff>
    </xdr:to>
    <xdr:sp macro="" textlink="">
      <xdr:nvSpPr>
        <xdr:cNvPr id="23" name="Rectangle: Rounded Corners 22">
          <a:extLst>
            <a:ext uri="{FF2B5EF4-FFF2-40B4-BE49-F238E27FC236}">
              <a16:creationId xmlns:a16="http://schemas.microsoft.com/office/drawing/2014/main" id="{546F1D16-F27B-4765-B37E-40036D073B6C}"/>
            </a:ext>
          </a:extLst>
        </xdr:cNvPr>
        <xdr:cNvSpPr/>
      </xdr:nvSpPr>
      <xdr:spPr>
        <a:xfrm>
          <a:off x="8228984" y="1510667"/>
          <a:ext cx="1953875" cy="8719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465666</xdr:colOff>
      <xdr:row>9</xdr:row>
      <xdr:rowOff>35562</xdr:rowOff>
    </xdr:from>
    <xdr:to>
      <xdr:col>13</xdr:col>
      <xdr:colOff>245533</xdr:colOff>
      <xdr:row>11</xdr:row>
      <xdr:rowOff>145832</xdr:rowOff>
    </xdr:to>
    <xdr:pic>
      <xdr:nvPicPr>
        <xdr:cNvPr id="24" name="Graphic 23">
          <a:extLst>
            <a:ext uri="{FF2B5EF4-FFF2-40B4-BE49-F238E27FC236}">
              <a16:creationId xmlns:a16="http://schemas.microsoft.com/office/drawing/2014/main" id="{DCA8B293-D1B9-4D41-80FD-33F02CD3C5B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 uri="{837473B0-CC2E-450A-ABE3-18F120FF3D39}">
              <a1611:picAttrSrcUrl xmlns:a1611="http://schemas.microsoft.com/office/drawing/2016/11/main" r:id="rId8"/>
            </a:ext>
          </a:extLst>
        </a:blip>
        <a:stretch>
          <a:fillRect/>
        </a:stretch>
      </xdr:blipFill>
      <xdr:spPr>
        <a:xfrm>
          <a:off x="7780866" y="1681482"/>
          <a:ext cx="389467" cy="476030"/>
        </a:xfrm>
        <a:prstGeom prst="rect">
          <a:avLst/>
        </a:prstGeom>
      </xdr:spPr>
    </xdr:pic>
    <xdr:clientData/>
  </xdr:twoCellAnchor>
  <xdr:twoCellAnchor>
    <xdr:from>
      <xdr:col>13</xdr:col>
      <xdr:colOff>474132</xdr:colOff>
      <xdr:row>8</xdr:row>
      <xdr:rowOff>93135</xdr:rowOff>
    </xdr:from>
    <xdr:to>
      <xdr:col>16</xdr:col>
      <xdr:colOff>347133</xdr:colOff>
      <xdr:row>10</xdr:row>
      <xdr:rowOff>93134</xdr:rowOff>
    </xdr:to>
    <xdr:sp macro="" textlink="">
      <xdr:nvSpPr>
        <xdr:cNvPr id="25" name="TextBox 24">
          <a:extLst>
            <a:ext uri="{FF2B5EF4-FFF2-40B4-BE49-F238E27FC236}">
              <a16:creationId xmlns:a16="http://schemas.microsoft.com/office/drawing/2014/main" id="{D782EFE3-2E9C-4043-B877-F41F459A4DD8}"/>
            </a:ext>
          </a:extLst>
        </xdr:cNvPr>
        <xdr:cNvSpPr txBox="1"/>
      </xdr:nvSpPr>
      <xdr:spPr>
        <a:xfrm>
          <a:off x="8398932" y="1556175"/>
          <a:ext cx="1701801" cy="3657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 UNIT</a:t>
          </a:r>
          <a:r>
            <a:rPr lang="en-US" sz="1400" b="1" baseline="0"/>
            <a:t> SOLD</a:t>
          </a:r>
          <a:endParaRPr lang="en-US" sz="1400" b="1"/>
        </a:p>
      </xdr:txBody>
    </xdr:sp>
    <xdr:clientData/>
  </xdr:twoCellAnchor>
  <xdr:twoCellAnchor>
    <xdr:from>
      <xdr:col>4</xdr:col>
      <xdr:colOff>179294</xdr:colOff>
      <xdr:row>14</xdr:row>
      <xdr:rowOff>89645</xdr:rowOff>
    </xdr:from>
    <xdr:to>
      <xdr:col>9</xdr:col>
      <xdr:colOff>161365</xdr:colOff>
      <xdr:row>17</xdr:row>
      <xdr:rowOff>26892</xdr:rowOff>
    </xdr:to>
    <xdr:sp macro="" textlink="">
      <xdr:nvSpPr>
        <xdr:cNvPr id="28" name="TextBox 27">
          <a:extLst>
            <a:ext uri="{FF2B5EF4-FFF2-40B4-BE49-F238E27FC236}">
              <a16:creationId xmlns:a16="http://schemas.microsoft.com/office/drawing/2014/main" id="{65842DE5-F369-40D8-8CCB-78D0ADECC890}"/>
            </a:ext>
          </a:extLst>
        </xdr:cNvPr>
        <xdr:cNvSpPr txBox="1"/>
      </xdr:nvSpPr>
      <xdr:spPr>
        <a:xfrm>
          <a:off x="2617694" y="2599763"/>
          <a:ext cx="3030071" cy="475129"/>
        </a:xfrm>
        <a:prstGeom prst="roundRect">
          <a:avLst>
            <a:gd name="adj" fmla="val 50000"/>
          </a:avLst>
        </a:prstGeom>
        <a:solidFill>
          <a:srgbClr val="48599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Salesman Wise Performance</a:t>
          </a:r>
        </a:p>
      </xdr:txBody>
    </xdr:sp>
    <xdr:clientData/>
  </xdr:twoCellAnchor>
  <xdr:twoCellAnchor>
    <xdr:from>
      <xdr:col>12</xdr:col>
      <xdr:colOff>91143</xdr:colOff>
      <xdr:row>24</xdr:row>
      <xdr:rowOff>82176</xdr:rowOff>
    </xdr:from>
    <xdr:to>
      <xdr:col>21</xdr:col>
      <xdr:colOff>502025</xdr:colOff>
      <xdr:row>33</xdr:row>
      <xdr:rowOff>103402</xdr:rowOff>
    </xdr:to>
    <xdr:sp macro="" textlink="">
      <xdr:nvSpPr>
        <xdr:cNvPr id="29" name="Rectangle: Rounded Corners 28">
          <a:extLst>
            <a:ext uri="{FF2B5EF4-FFF2-40B4-BE49-F238E27FC236}">
              <a16:creationId xmlns:a16="http://schemas.microsoft.com/office/drawing/2014/main" id="{2E385E88-B872-4CAC-8061-17B7401EBFF4}"/>
            </a:ext>
          </a:extLst>
        </xdr:cNvPr>
        <xdr:cNvSpPr/>
      </xdr:nvSpPr>
      <xdr:spPr>
        <a:xfrm>
          <a:off x="7406343" y="4471296"/>
          <a:ext cx="5897282" cy="1667146"/>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116539</xdr:colOff>
      <xdr:row>14</xdr:row>
      <xdr:rowOff>134470</xdr:rowOff>
    </xdr:from>
    <xdr:to>
      <xdr:col>20</xdr:col>
      <xdr:colOff>152400</xdr:colOff>
      <xdr:row>16</xdr:row>
      <xdr:rowOff>143435</xdr:rowOff>
    </xdr:to>
    <xdr:sp macro="" textlink="">
      <xdr:nvSpPr>
        <xdr:cNvPr id="30" name="TextBox 29">
          <a:extLst>
            <a:ext uri="{FF2B5EF4-FFF2-40B4-BE49-F238E27FC236}">
              <a16:creationId xmlns:a16="http://schemas.microsoft.com/office/drawing/2014/main" id="{1998F6A4-23BA-4DD8-88C0-1E98B38A0933}"/>
            </a:ext>
          </a:extLst>
        </xdr:cNvPr>
        <xdr:cNvSpPr txBox="1"/>
      </xdr:nvSpPr>
      <xdr:spPr>
        <a:xfrm>
          <a:off x="7431739" y="2644588"/>
          <a:ext cx="4912661" cy="367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Top</a:t>
          </a:r>
          <a:r>
            <a:rPr lang="en-US" sz="1800" b="1" baseline="0"/>
            <a:t> Performing 3 Salesman </a:t>
          </a:r>
          <a:r>
            <a:rPr lang="en-US" sz="1200" b="1" baseline="0"/>
            <a:t>(By Products)</a:t>
          </a:r>
          <a:endParaRPr lang="en-US" sz="1200" b="1"/>
        </a:p>
      </xdr:txBody>
    </xdr:sp>
    <xdr:clientData/>
  </xdr:twoCellAnchor>
  <xdr:twoCellAnchor editAs="oneCell">
    <xdr:from>
      <xdr:col>22</xdr:col>
      <xdr:colOff>133910</xdr:colOff>
      <xdr:row>1</xdr:row>
      <xdr:rowOff>103095</xdr:rowOff>
    </xdr:from>
    <xdr:to>
      <xdr:col>25</xdr:col>
      <xdr:colOff>133910</xdr:colOff>
      <xdr:row>9</xdr:row>
      <xdr:rowOff>116542</xdr:rowOff>
    </xdr:to>
    <mc:AlternateContent xmlns:mc="http://schemas.openxmlformats.org/markup-compatibility/2006" xmlns:a14="http://schemas.microsoft.com/office/drawing/2010/main">
      <mc:Choice Requires="a14">
        <xdr:graphicFrame macro="">
          <xdr:nvGraphicFramePr>
            <xdr:cNvPr id="37" name="Region 1">
              <a:extLst>
                <a:ext uri="{FF2B5EF4-FFF2-40B4-BE49-F238E27FC236}">
                  <a16:creationId xmlns:a16="http://schemas.microsoft.com/office/drawing/2014/main" id="{777588A2-2510-44A0-84D3-6C4A3B4800E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545110" y="282389"/>
              <a:ext cx="1828800"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493060</xdr:colOff>
      <xdr:row>1</xdr:row>
      <xdr:rowOff>134471</xdr:rowOff>
    </xdr:from>
    <xdr:to>
      <xdr:col>21</xdr:col>
      <xdr:colOff>484094</xdr:colOff>
      <xdr:row>5</xdr:row>
      <xdr:rowOff>35859</xdr:rowOff>
    </xdr:to>
    <mc:AlternateContent xmlns:mc="http://schemas.openxmlformats.org/markup-compatibility/2006" xmlns:a14="http://schemas.microsoft.com/office/drawing/2010/main">
      <mc:Choice Requires="a14">
        <xdr:graphicFrame macro="">
          <xdr:nvGraphicFramePr>
            <xdr:cNvPr id="38" name="Product 1">
              <a:extLst>
                <a:ext uri="{FF2B5EF4-FFF2-40B4-BE49-F238E27FC236}">
                  <a16:creationId xmlns:a16="http://schemas.microsoft.com/office/drawing/2014/main" id="{970DF140-C068-4584-8451-C36FD1B165E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7198660" y="313765"/>
              <a:ext cx="6087034" cy="6185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546350</xdr:colOff>
      <xdr:row>6</xdr:row>
      <xdr:rowOff>23907</xdr:rowOff>
    </xdr:from>
    <xdr:to>
      <xdr:col>6</xdr:col>
      <xdr:colOff>456703</xdr:colOff>
      <xdr:row>12</xdr:row>
      <xdr:rowOff>166234</xdr:rowOff>
    </xdr:to>
    <xdr:pic>
      <xdr:nvPicPr>
        <xdr:cNvPr id="40" name="Picture 39">
          <a:extLst>
            <a:ext uri="{FF2B5EF4-FFF2-40B4-BE49-F238E27FC236}">
              <a16:creationId xmlns:a16="http://schemas.microsoft.com/office/drawing/2014/main" id="{EC304BAD-4002-369D-510F-F86BCA8F98B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2984750" y="1141507"/>
          <a:ext cx="1129553" cy="1259927"/>
        </a:xfrm>
        <a:prstGeom prst="rect">
          <a:avLst/>
        </a:prstGeom>
      </xdr:spPr>
    </xdr:pic>
    <xdr:clientData/>
  </xdr:twoCellAnchor>
  <xdr:twoCellAnchor>
    <xdr:from>
      <xdr:col>12</xdr:col>
      <xdr:colOff>161363</xdr:colOff>
      <xdr:row>24</xdr:row>
      <xdr:rowOff>116541</xdr:rowOff>
    </xdr:from>
    <xdr:to>
      <xdr:col>17</xdr:col>
      <xdr:colOff>439271</xdr:colOff>
      <xdr:row>26</xdr:row>
      <xdr:rowOff>125506</xdr:rowOff>
    </xdr:to>
    <xdr:sp macro="" textlink="">
      <xdr:nvSpPr>
        <xdr:cNvPr id="42" name="TextBox 41">
          <a:extLst>
            <a:ext uri="{FF2B5EF4-FFF2-40B4-BE49-F238E27FC236}">
              <a16:creationId xmlns:a16="http://schemas.microsoft.com/office/drawing/2014/main" id="{30DDB6F1-A6A8-A871-5D61-1512EFE30E0C}"/>
            </a:ext>
          </a:extLst>
        </xdr:cNvPr>
        <xdr:cNvSpPr txBox="1"/>
      </xdr:nvSpPr>
      <xdr:spPr>
        <a:xfrm>
          <a:off x="7476563" y="4419600"/>
          <a:ext cx="3325908" cy="367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baseline="0"/>
            <a:t>Bottom Performing 3 Salesman</a:t>
          </a:r>
          <a:endParaRPr lang="en-US" sz="1800" b="1"/>
        </a:p>
      </xdr:txBody>
    </xdr:sp>
    <xdr:clientData/>
  </xdr:twoCellAnchor>
  <xdr:twoCellAnchor>
    <xdr:from>
      <xdr:col>12</xdr:col>
      <xdr:colOff>234577</xdr:colOff>
      <xdr:row>15</xdr:row>
      <xdr:rowOff>150307</xdr:rowOff>
    </xdr:from>
    <xdr:to>
      <xdr:col>20</xdr:col>
      <xdr:colOff>502022</xdr:colOff>
      <xdr:row>23</xdr:row>
      <xdr:rowOff>143435</xdr:rowOff>
    </xdr:to>
    <xdr:graphicFrame macro="">
      <xdr:nvGraphicFramePr>
        <xdr:cNvPr id="43" name="Chart 42">
          <a:extLst>
            <a:ext uri="{FF2B5EF4-FFF2-40B4-BE49-F238E27FC236}">
              <a16:creationId xmlns:a16="http://schemas.microsoft.com/office/drawing/2014/main" id="{F63EB43D-864A-48F6-96F5-0CD7C199FD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149184</xdr:colOff>
      <xdr:row>26</xdr:row>
      <xdr:rowOff>62753</xdr:rowOff>
    </xdr:from>
    <xdr:to>
      <xdr:col>20</xdr:col>
      <xdr:colOff>286870</xdr:colOff>
      <xdr:row>35</xdr:row>
      <xdr:rowOff>17929</xdr:rowOff>
    </xdr:to>
    <xdr:graphicFrame macro="">
      <xdr:nvGraphicFramePr>
        <xdr:cNvPr id="44" name="Chart 43">
          <a:extLst>
            <a:ext uri="{FF2B5EF4-FFF2-40B4-BE49-F238E27FC236}">
              <a16:creationId xmlns:a16="http://schemas.microsoft.com/office/drawing/2014/main" id="{CC614FE1-B7BA-4E37-A68F-43B5DD78AB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448236</xdr:colOff>
      <xdr:row>15</xdr:row>
      <xdr:rowOff>89647</xdr:rowOff>
    </xdr:from>
    <xdr:to>
      <xdr:col>11</xdr:col>
      <xdr:colOff>510988</xdr:colOff>
      <xdr:row>33</xdr:row>
      <xdr:rowOff>116541</xdr:rowOff>
    </xdr:to>
    <xdr:graphicFrame macro="">
      <xdr:nvGraphicFramePr>
        <xdr:cNvPr id="45" name="Chart 44">
          <a:extLst>
            <a:ext uri="{FF2B5EF4-FFF2-40B4-BE49-F238E27FC236}">
              <a16:creationId xmlns:a16="http://schemas.microsoft.com/office/drawing/2014/main" id="{87ED6BB3-149F-46E8-908C-F86512805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295836</xdr:colOff>
      <xdr:row>9</xdr:row>
      <xdr:rowOff>161364</xdr:rowOff>
    </xdr:from>
    <xdr:to>
      <xdr:col>12</xdr:col>
      <xdr:colOff>134471</xdr:colOff>
      <xdr:row>12</xdr:row>
      <xdr:rowOff>116541</xdr:rowOff>
    </xdr:to>
    <xdr:sp macro="" textlink="'Pivot Table'!M3">
      <xdr:nvSpPr>
        <xdr:cNvPr id="46" name="TextBox 45">
          <a:extLst>
            <a:ext uri="{FF2B5EF4-FFF2-40B4-BE49-F238E27FC236}">
              <a16:creationId xmlns:a16="http://schemas.microsoft.com/office/drawing/2014/main" id="{27CD64F1-A443-0DCF-4797-786882392191}"/>
            </a:ext>
          </a:extLst>
        </xdr:cNvPr>
        <xdr:cNvSpPr txBox="1"/>
      </xdr:nvSpPr>
      <xdr:spPr>
        <a:xfrm>
          <a:off x="5782236" y="1775011"/>
          <a:ext cx="1667435" cy="493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366D6E-C667-43D2-BD8F-574A54A263D4}" type="TxLink">
            <a:rPr lang="en-US" sz="2800" b="1" i="0" u="none" strike="noStrike">
              <a:solidFill>
                <a:srgbClr val="000000"/>
              </a:solidFill>
              <a:latin typeface="Calibri"/>
              <a:cs typeface="Calibri"/>
            </a:rPr>
            <a:pPr/>
            <a:t>Krishna</a:t>
          </a:fld>
          <a:endParaRPr lang="en-US" sz="5400" b="1"/>
        </a:p>
      </xdr:txBody>
    </xdr:sp>
    <xdr:clientData/>
  </xdr:twoCellAnchor>
  <xdr:twoCellAnchor>
    <xdr:from>
      <xdr:col>18</xdr:col>
      <xdr:colOff>98613</xdr:colOff>
      <xdr:row>10</xdr:row>
      <xdr:rowOff>26894</xdr:rowOff>
    </xdr:from>
    <xdr:to>
      <xdr:col>21</xdr:col>
      <xdr:colOff>17930</xdr:colOff>
      <xdr:row>14</xdr:row>
      <xdr:rowOff>53788</xdr:rowOff>
    </xdr:to>
    <xdr:sp macro="" textlink="'Pivot Table'!M4">
      <xdr:nvSpPr>
        <xdr:cNvPr id="47" name="TextBox 46">
          <a:extLst>
            <a:ext uri="{FF2B5EF4-FFF2-40B4-BE49-F238E27FC236}">
              <a16:creationId xmlns:a16="http://schemas.microsoft.com/office/drawing/2014/main" id="{B8585762-323C-0DBA-FED9-EFFF48FDE5C3}"/>
            </a:ext>
          </a:extLst>
        </xdr:cNvPr>
        <xdr:cNvSpPr txBox="1"/>
      </xdr:nvSpPr>
      <xdr:spPr>
        <a:xfrm>
          <a:off x="11071413" y="1819835"/>
          <a:ext cx="1748117" cy="744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BB3CAA-436A-430E-924F-AB66824DD73A}" type="TxLink">
            <a:rPr lang="en-US" sz="2000" b="1" i="0" u="none" strike="noStrike">
              <a:solidFill>
                <a:srgbClr val="000000"/>
              </a:solidFill>
              <a:latin typeface="Calibri"/>
              <a:cs typeface="Calibri"/>
            </a:rPr>
            <a:pPr/>
            <a:t> 35,274,772 </a:t>
          </a:fld>
          <a:endParaRPr lang="en-US" sz="2000" b="1"/>
        </a:p>
      </xdr:txBody>
    </xdr:sp>
    <xdr:clientData/>
  </xdr:twoCellAnchor>
  <xdr:twoCellAnchor>
    <xdr:from>
      <xdr:col>14</xdr:col>
      <xdr:colOff>242047</xdr:colOff>
      <xdr:row>9</xdr:row>
      <xdr:rowOff>134470</xdr:rowOff>
    </xdr:from>
    <xdr:to>
      <xdr:col>17</xdr:col>
      <xdr:colOff>53788</xdr:colOff>
      <xdr:row>12</xdr:row>
      <xdr:rowOff>152399</xdr:rowOff>
    </xdr:to>
    <xdr:sp macro="" textlink="'Pivot Table'!M5">
      <xdr:nvSpPr>
        <xdr:cNvPr id="48" name="TextBox 47">
          <a:extLst>
            <a:ext uri="{FF2B5EF4-FFF2-40B4-BE49-F238E27FC236}">
              <a16:creationId xmlns:a16="http://schemas.microsoft.com/office/drawing/2014/main" id="{1BF9B553-E844-6A53-F588-ACA5554F94A8}"/>
            </a:ext>
          </a:extLst>
        </xdr:cNvPr>
        <xdr:cNvSpPr txBox="1"/>
      </xdr:nvSpPr>
      <xdr:spPr>
        <a:xfrm>
          <a:off x="8776447" y="1748117"/>
          <a:ext cx="1640541" cy="555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B132D1-B28C-4845-B378-93FE1E6A1119}" type="TxLink">
            <a:rPr lang="en-US" sz="3200" b="1" i="0" u="none" strike="noStrike">
              <a:solidFill>
                <a:srgbClr val="000000"/>
              </a:solidFill>
              <a:latin typeface="Calibri"/>
              <a:cs typeface="Calibri"/>
            </a:rPr>
            <a:pPr/>
            <a:t>898</a:t>
          </a:fld>
          <a:endParaRPr lang="en-US" sz="3200" b="1"/>
        </a:p>
      </xdr:txBody>
    </xdr:sp>
    <xdr:clientData/>
  </xdr:twoCellAnchor>
  <xdr:twoCellAnchor>
    <xdr:from>
      <xdr:col>0</xdr:col>
      <xdr:colOff>277910</xdr:colOff>
      <xdr:row>21</xdr:row>
      <xdr:rowOff>71719</xdr:rowOff>
    </xdr:from>
    <xdr:to>
      <xdr:col>3</xdr:col>
      <xdr:colOff>215157</xdr:colOff>
      <xdr:row>24</xdr:row>
      <xdr:rowOff>89648</xdr:rowOff>
    </xdr:to>
    <xdr:sp macro="" textlink="">
      <xdr:nvSpPr>
        <xdr:cNvPr id="53" name="Rectangle: Rounded Corners 52">
          <a:hlinkClick xmlns:r="http://schemas.openxmlformats.org/officeDocument/2006/relationships" r:id="rId14"/>
          <a:extLst>
            <a:ext uri="{FF2B5EF4-FFF2-40B4-BE49-F238E27FC236}">
              <a16:creationId xmlns:a16="http://schemas.microsoft.com/office/drawing/2014/main" id="{EAB38830-4E46-4515-8F0B-6B0EEB15B010}"/>
            </a:ext>
          </a:extLst>
        </xdr:cNvPr>
        <xdr:cNvSpPr/>
      </xdr:nvSpPr>
      <xdr:spPr>
        <a:xfrm>
          <a:off x="277910" y="3836895"/>
          <a:ext cx="1766047" cy="555812"/>
        </a:xfrm>
        <a:prstGeom prst="roundRect">
          <a:avLst>
            <a:gd name="adj" fmla="val 28494"/>
          </a:avLst>
        </a:prstGeom>
        <a:no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xdr:col>
      <xdr:colOff>71722</xdr:colOff>
      <xdr:row>21</xdr:row>
      <xdr:rowOff>170330</xdr:rowOff>
    </xdr:from>
    <xdr:to>
      <xdr:col>3</xdr:col>
      <xdr:colOff>206192</xdr:colOff>
      <xdr:row>23</xdr:row>
      <xdr:rowOff>143435</xdr:rowOff>
    </xdr:to>
    <xdr:sp macro="" textlink="">
      <xdr:nvSpPr>
        <xdr:cNvPr id="54" name="TextBox 53">
          <a:extLst>
            <a:ext uri="{FF2B5EF4-FFF2-40B4-BE49-F238E27FC236}">
              <a16:creationId xmlns:a16="http://schemas.microsoft.com/office/drawing/2014/main" id="{6FA37840-8EE7-42D3-9501-DFCC8A8F8A96}"/>
            </a:ext>
          </a:extLst>
        </xdr:cNvPr>
        <xdr:cNvSpPr txBox="1"/>
      </xdr:nvSpPr>
      <xdr:spPr>
        <a:xfrm>
          <a:off x="681322" y="3935506"/>
          <a:ext cx="1353670" cy="331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ABOUT</a:t>
          </a:r>
          <a:endParaRPr lang="en-US" sz="1100" b="1">
            <a:solidFill>
              <a:schemeClr val="bg1"/>
            </a:solidFill>
          </a:endParaRPr>
        </a:p>
      </xdr:txBody>
    </xdr:sp>
    <xdr:clientData/>
  </xdr:twoCellAnchor>
  <xdr:twoCellAnchor editAs="oneCell">
    <xdr:from>
      <xdr:col>8</xdr:col>
      <xdr:colOff>152402</xdr:colOff>
      <xdr:row>9</xdr:row>
      <xdr:rowOff>42332</xdr:rowOff>
    </xdr:from>
    <xdr:to>
      <xdr:col>9</xdr:col>
      <xdr:colOff>149994</xdr:colOff>
      <xdr:row>12</xdr:row>
      <xdr:rowOff>72583</xdr:rowOff>
    </xdr:to>
    <xdr:pic>
      <xdr:nvPicPr>
        <xdr:cNvPr id="11" name="Graphic 10">
          <a:extLst>
            <a:ext uri="{FF2B5EF4-FFF2-40B4-BE49-F238E27FC236}">
              <a16:creationId xmlns:a16="http://schemas.microsoft.com/office/drawing/2014/main" id="{B6966FF6-D0AC-0D25-6395-15C73B18683B}"/>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 uri="{837473B0-CC2E-450A-ABE3-18F120FF3D39}">
              <a1611:picAttrSrcUrl xmlns:a1611="http://schemas.microsoft.com/office/drawing/2016/11/main" r:id="rId17"/>
            </a:ext>
          </a:extLst>
        </a:blip>
        <a:stretch>
          <a:fillRect/>
        </a:stretch>
      </xdr:blipFill>
      <xdr:spPr>
        <a:xfrm>
          <a:off x="5029202" y="1718732"/>
          <a:ext cx="607192" cy="58905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142875</xdr:colOff>
      <xdr:row>0</xdr:row>
      <xdr:rowOff>76200</xdr:rowOff>
    </xdr:from>
    <xdr:to>
      <xdr:col>26</xdr:col>
      <xdr:colOff>35859</xdr:colOff>
      <xdr:row>34</xdr:row>
      <xdr:rowOff>177800</xdr:rowOff>
    </xdr:to>
    <xdr:sp macro="" textlink="">
      <xdr:nvSpPr>
        <xdr:cNvPr id="2" name="Rectangle: Rounded Corners 1">
          <a:extLst>
            <a:ext uri="{FF2B5EF4-FFF2-40B4-BE49-F238E27FC236}">
              <a16:creationId xmlns:a16="http://schemas.microsoft.com/office/drawing/2014/main" id="{E4A5F94F-DD84-4B65-B431-8CB80A5613AF}"/>
            </a:ext>
          </a:extLst>
        </xdr:cNvPr>
        <xdr:cNvSpPr/>
      </xdr:nvSpPr>
      <xdr:spPr>
        <a:xfrm>
          <a:off x="142875" y="76200"/>
          <a:ext cx="15742584" cy="6434667"/>
        </a:xfrm>
        <a:prstGeom prst="roundRect">
          <a:avLst>
            <a:gd name="adj" fmla="val 3201"/>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3</xdr:col>
      <xdr:colOff>393246</xdr:colOff>
      <xdr:row>1</xdr:row>
      <xdr:rowOff>44495</xdr:rowOff>
    </xdr:from>
    <xdr:to>
      <xdr:col>22</xdr:col>
      <xdr:colOff>12246</xdr:colOff>
      <xdr:row>34</xdr:row>
      <xdr:rowOff>85165</xdr:rowOff>
    </xdr:to>
    <xdr:sp macro="" textlink="">
      <xdr:nvSpPr>
        <xdr:cNvPr id="3" name="Rectangle: Rounded Corners 2">
          <a:extLst>
            <a:ext uri="{FF2B5EF4-FFF2-40B4-BE49-F238E27FC236}">
              <a16:creationId xmlns:a16="http://schemas.microsoft.com/office/drawing/2014/main" id="{76C2FC9C-9984-4AA8-98E9-C56B6BDCE810}"/>
            </a:ext>
          </a:extLst>
        </xdr:cNvPr>
        <xdr:cNvSpPr/>
      </xdr:nvSpPr>
      <xdr:spPr>
        <a:xfrm>
          <a:off x="2222046" y="230762"/>
          <a:ext cx="11201400" cy="6187470"/>
        </a:xfrm>
        <a:prstGeom prst="roundRect">
          <a:avLst>
            <a:gd name="adj" fmla="val 3782"/>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200"/>
            <a:t>   </a:t>
          </a:r>
          <a:endParaRPr lang="en-US" sz="1200">
            <a:effectLst/>
          </a:endParaRPr>
        </a:p>
        <a:p>
          <a:pPr algn="l"/>
          <a:r>
            <a:rPr lang="en-US" sz="1200"/>
            <a:t> </a:t>
          </a:r>
        </a:p>
      </xdr:txBody>
    </xdr:sp>
    <xdr:clientData/>
  </xdr:twoCellAnchor>
  <xdr:twoCellAnchor>
    <xdr:from>
      <xdr:col>0</xdr:col>
      <xdr:colOff>289576</xdr:colOff>
      <xdr:row>9</xdr:row>
      <xdr:rowOff>175956</xdr:rowOff>
    </xdr:from>
    <xdr:to>
      <xdr:col>3</xdr:col>
      <xdr:colOff>191601</xdr:colOff>
      <xdr:row>13</xdr:row>
      <xdr:rowOff>17053</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3DC7D6BB-71CE-4088-9762-890102246AAD}"/>
            </a:ext>
          </a:extLst>
        </xdr:cNvPr>
        <xdr:cNvSpPr/>
      </xdr:nvSpPr>
      <xdr:spPr>
        <a:xfrm>
          <a:off x="289576" y="1821876"/>
          <a:ext cx="1730825" cy="572617"/>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rgbClr val="FFFFFF"/>
              </a:solidFill>
            </a:rPr>
            <a:t>PRODUCTS</a:t>
          </a:r>
        </a:p>
      </xdr:txBody>
    </xdr:sp>
    <xdr:clientData/>
  </xdr:twoCellAnchor>
  <xdr:twoCellAnchor>
    <xdr:from>
      <xdr:col>0</xdr:col>
      <xdr:colOff>289576</xdr:colOff>
      <xdr:row>13</xdr:row>
      <xdr:rowOff>148660</xdr:rowOff>
    </xdr:from>
    <xdr:to>
      <xdr:col>3</xdr:col>
      <xdr:colOff>191601</xdr:colOff>
      <xdr:row>16</xdr:row>
      <xdr:rowOff>172634</xdr:rowOff>
    </xdr:to>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D727FE75-F5DE-48D2-9326-A756684345DC}"/>
            </a:ext>
          </a:extLst>
        </xdr:cNvPr>
        <xdr:cNvSpPr/>
      </xdr:nvSpPr>
      <xdr:spPr>
        <a:xfrm>
          <a:off x="289576" y="2526100"/>
          <a:ext cx="1730825" cy="572614"/>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bg1"/>
              </a:solidFill>
            </a:rPr>
            <a:t>SALESMANS</a:t>
          </a:r>
        </a:p>
      </xdr:txBody>
    </xdr:sp>
    <xdr:clientData/>
  </xdr:twoCellAnchor>
  <xdr:twoCellAnchor>
    <xdr:from>
      <xdr:col>0</xdr:col>
      <xdr:colOff>289576</xdr:colOff>
      <xdr:row>17</xdr:row>
      <xdr:rowOff>120149</xdr:rowOff>
    </xdr:from>
    <xdr:to>
      <xdr:col>3</xdr:col>
      <xdr:colOff>191601</xdr:colOff>
      <xdr:row>20</xdr:row>
      <xdr:rowOff>145336</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8BDD6614-C250-4E3A-9DDC-F98A1315C6DD}"/>
            </a:ext>
          </a:extLst>
        </xdr:cNvPr>
        <xdr:cNvSpPr/>
      </xdr:nvSpPr>
      <xdr:spPr>
        <a:xfrm>
          <a:off x="289576" y="3229109"/>
          <a:ext cx="1730825" cy="573827"/>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rPr>
            <a:t>REGION</a:t>
          </a:r>
        </a:p>
      </xdr:txBody>
    </xdr:sp>
    <xdr:clientData/>
  </xdr:twoCellAnchor>
  <xdr:twoCellAnchor>
    <xdr:from>
      <xdr:col>7</xdr:col>
      <xdr:colOff>392929</xdr:colOff>
      <xdr:row>8</xdr:row>
      <xdr:rowOff>50798</xdr:rowOff>
    </xdr:from>
    <xdr:to>
      <xdr:col>11</xdr:col>
      <xdr:colOff>438342</xdr:colOff>
      <xdr:row>13</xdr:row>
      <xdr:rowOff>1773</xdr:rowOff>
    </xdr:to>
    <xdr:sp macro="" textlink="">
      <xdr:nvSpPr>
        <xdr:cNvPr id="12" name="Rectangle: Rounded Corners 11">
          <a:extLst>
            <a:ext uri="{FF2B5EF4-FFF2-40B4-BE49-F238E27FC236}">
              <a16:creationId xmlns:a16="http://schemas.microsoft.com/office/drawing/2014/main" id="{B58B5FC1-4BCE-408C-9409-6D92CD1E737E}"/>
            </a:ext>
          </a:extLst>
        </xdr:cNvPr>
        <xdr:cNvSpPr/>
      </xdr:nvSpPr>
      <xdr:spPr>
        <a:xfrm>
          <a:off x="4660129" y="1540931"/>
          <a:ext cx="2483813" cy="882309"/>
        </a:xfrm>
        <a:prstGeom prst="roundRect">
          <a:avLst/>
        </a:prstGeom>
        <a:solidFill>
          <a:srgbClr val="00B05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307767</xdr:colOff>
      <xdr:row>8</xdr:row>
      <xdr:rowOff>42331</xdr:rowOff>
    </xdr:from>
    <xdr:to>
      <xdr:col>11</xdr:col>
      <xdr:colOff>432842</xdr:colOff>
      <xdr:row>13</xdr:row>
      <xdr:rowOff>6853</xdr:rowOff>
    </xdr:to>
    <xdr:sp macro="" textlink="">
      <xdr:nvSpPr>
        <xdr:cNvPr id="13" name="Rectangle: Rounded Corners 12">
          <a:extLst>
            <a:ext uri="{FF2B5EF4-FFF2-40B4-BE49-F238E27FC236}">
              <a16:creationId xmlns:a16="http://schemas.microsoft.com/office/drawing/2014/main" id="{AB1F7F3C-A81D-413E-A261-E33873AE3D99}"/>
            </a:ext>
          </a:extLst>
        </xdr:cNvPr>
        <xdr:cNvSpPr/>
      </xdr:nvSpPr>
      <xdr:spPr>
        <a:xfrm>
          <a:off x="5184567" y="1532464"/>
          <a:ext cx="1953875" cy="89585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507771</xdr:colOff>
      <xdr:row>14</xdr:row>
      <xdr:rowOff>89149</xdr:rowOff>
    </xdr:from>
    <xdr:to>
      <xdr:col>21</xdr:col>
      <xdr:colOff>516467</xdr:colOff>
      <xdr:row>33</xdr:row>
      <xdr:rowOff>148225</xdr:rowOff>
    </xdr:to>
    <xdr:sp macro="" textlink="">
      <xdr:nvSpPr>
        <xdr:cNvPr id="10" name="Rectangle: Rounded Corners 9">
          <a:extLst>
            <a:ext uri="{FF2B5EF4-FFF2-40B4-BE49-F238E27FC236}">
              <a16:creationId xmlns:a16="http://schemas.microsoft.com/office/drawing/2014/main" id="{27F15375-20D3-470D-AC00-249D5D6B1370}"/>
            </a:ext>
          </a:extLst>
        </xdr:cNvPr>
        <xdr:cNvSpPr/>
      </xdr:nvSpPr>
      <xdr:spPr>
        <a:xfrm>
          <a:off x="2336571" y="2696882"/>
          <a:ext cx="10981496" cy="3598143"/>
        </a:xfrm>
        <a:prstGeom prst="roundRect">
          <a:avLst/>
        </a:prstGeom>
        <a:solidFill>
          <a:schemeClr val="accent1">
            <a:lumMod val="5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451700</xdr:colOff>
      <xdr:row>8</xdr:row>
      <xdr:rowOff>160865</xdr:rowOff>
    </xdr:from>
    <xdr:to>
      <xdr:col>8</xdr:col>
      <xdr:colOff>384196</xdr:colOff>
      <xdr:row>12</xdr:row>
      <xdr:rowOff>93962</xdr:rowOff>
    </xdr:to>
    <xdr:pic>
      <xdr:nvPicPr>
        <xdr:cNvPr id="14" name="Picture 13">
          <a:extLst>
            <a:ext uri="{FF2B5EF4-FFF2-40B4-BE49-F238E27FC236}">
              <a16:creationId xmlns:a16="http://schemas.microsoft.com/office/drawing/2014/main" id="{00E2AE55-A791-48CD-A3B1-B36209C3446E}"/>
            </a:ext>
          </a:extLst>
        </xdr:cNvPr>
        <xdr:cNvPicPr>
          <a:picLocks noChangeAspect="1"/>
        </xdr:cNvPicPr>
      </xdr:nvPicPr>
      <xdr:blipFill>
        <a:blip xmlns:r="http://schemas.openxmlformats.org/officeDocument/2006/relationships" r:embed="rId4" cstate="print">
          <a:duotone>
            <a:prstClr val="black"/>
            <a:srgbClr val="00B050">
              <a:tint val="45000"/>
              <a:satMod val="400000"/>
            </a:srgbClr>
          </a:duotone>
          <a:extLst>
            <a:ext uri="{BEBA8EAE-BF5A-486C-A8C5-ECC9F3942E4B}">
              <a14:imgProps xmlns:a14="http://schemas.microsoft.com/office/drawing/2010/main">
                <a14:imgLayer r:embed="rId5">
                  <a14:imgEffect>
                    <a14:backgroundRemoval t="2036" b="95929" l="3438" r="93125">
                      <a14:foregroundMark x1="54375" y1="52672" x2="54375" y2="52672"/>
                    </a14:backgroundRemoval>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6"/>
            </a:ext>
          </a:extLst>
        </a:blip>
        <a:stretch>
          <a:fillRect/>
        </a:stretch>
      </xdr:blipFill>
      <xdr:spPr>
        <a:xfrm>
          <a:off x="4718900" y="1650998"/>
          <a:ext cx="542096" cy="678164"/>
        </a:xfrm>
        <a:prstGeom prst="rect">
          <a:avLst/>
        </a:prstGeom>
      </xdr:spPr>
    </xdr:pic>
    <xdr:clientData/>
  </xdr:twoCellAnchor>
  <xdr:twoCellAnchor>
    <xdr:from>
      <xdr:col>8</xdr:col>
      <xdr:colOff>400902</xdr:colOff>
      <xdr:row>8</xdr:row>
      <xdr:rowOff>59267</xdr:rowOff>
    </xdr:from>
    <xdr:to>
      <xdr:col>11</xdr:col>
      <xdr:colOff>45302</xdr:colOff>
      <xdr:row>10</xdr:row>
      <xdr:rowOff>16933</xdr:rowOff>
    </xdr:to>
    <xdr:sp macro="" textlink="">
      <xdr:nvSpPr>
        <xdr:cNvPr id="15" name="TextBox 14">
          <a:extLst>
            <a:ext uri="{FF2B5EF4-FFF2-40B4-BE49-F238E27FC236}">
              <a16:creationId xmlns:a16="http://schemas.microsoft.com/office/drawing/2014/main" id="{FD51D081-38FF-42CD-931B-930B684C5921}"/>
            </a:ext>
          </a:extLst>
        </xdr:cNvPr>
        <xdr:cNvSpPr txBox="1"/>
      </xdr:nvSpPr>
      <xdr:spPr>
        <a:xfrm>
          <a:off x="5277702" y="1549400"/>
          <a:ext cx="1473200" cy="330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a:t>
          </a:r>
          <a:r>
            <a:rPr lang="en-US" sz="1400" b="1" baseline="0"/>
            <a:t> REVENUE</a:t>
          </a:r>
          <a:endParaRPr lang="en-US" sz="1400" b="1"/>
        </a:p>
      </xdr:txBody>
    </xdr:sp>
    <xdr:clientData/>
  </xdr:twoCellAnchor>
  <xdr:twoCellAnchor>
    <xdr:from>
      <xdr:col>12</xdr:col>
      <xdr:colOff>303997</xdr:colOff>
      <xdr:row>5</xdr:row>
      <xdr:rowOff>169334</xdr:rowOff>
    </xdr:from>
    <xdr:to>
      <xdr:col>15</xdr:col>
      <xdr:colOff>255107</xdr:colOff>
      <xdr:row>9</xdr:row>
      <xdr:rowOff>52803</xdr:rowOff>
    </xdr:to>
    <xdr:sp macro="" textlink="">
      <xdr:nvSpPr>
        <xdr:cNvPr id="17" name="Rectangle: Rounded Corners 16">
          <a:extLst>
            <a:ext uri="{FF2B5EF4-FFF2-40B4-BE49-F238E27FC236}">
              <a16:creationId xmlns:a16="http://schemas.microsoft.com/office/drawing/2014/main" id="{DBA023E5-AE5F-4D0D-B55A-FB2F1FA323D1}"/>
            </a:ext>
          </a:extLst>
        </xdr:cNvPr>
        <xdr:cNvSpPr/>
      </xdr:nvSpPr>
      <xdr:spPr>
        <a:xfrm>
          <a:off x="7619197" y="1100667"/>
          <a:ext cx="1779910" cy="628536"/>
        </a:xfrm>
        <a:prstGeom prst="roundRect">
          <a:avLst/>
        </a:prstGeom>
        <a:solidFill>
          <a:srgbClr val="FF000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149242</xdr:colOff>
      <xdr:row>5</xdr:row>
      <xdr:rowOff>169334</xdr:rowOff>
    </xdr:from>
    <xdr:to>
      <xdr:col>15</xdr:col>
      <xdr:colOff>330200</xdr:colOff>
      <xdr:row>9</xdr:row>
      <xdr:rowOff>52803</xdr:rowOff>
    </xdr:to>
    <xdr:sp macro="" textlink="">
      <xdr:nvSpPr>
        <xdr:cNvPr id="18" name="Rectangle: Rounded Corners 17">
          <a:extLst>
            <a:ext uri="{FF2B5EF4-FFF2-40B4-BE49-F238E27FC236}">
              <a16:creationId xmlns:a16="http://schemas.microsoft.com/office/drawing/2014/main" id="{65685D1C-A52C-4840-9C0D-12370B6D00FC}"/>
            </a:ext>
          </a:extLst>
        </xdr:cNvPr>
        <xdr:cNvSpPr/>
      </xdr:nvSpPr>
      <xdr:spPr>
        <a:xfrm>
          <a:off x="8074042" y="1100667"/>
          <a:ext cx="1400158" cy="62853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22</xdr:col>
      <xdr:colOff>133910</xdr:colOff>
      <xdr:row>1</xdr:row>
      <xdr:rowOff>103095</xdr:rowOff>
    </xdr:from>
    <xdr:to>
      <xdr:col>25</xdr:col>
      <xdr:colOff>133910</xdr:colOff>
      <xdr:row>9</xdr:row>
      <xdr:rowOff>116542</xdr:rowOff>
    </xdr:to>
    <mc:AlternateContent xmlns:mc="http://schemas.openxmlformats.org/markup-compatibility/2006" xmlns:a14="http://schemas.microsoft.com/office/drawing/2010/main">
      <mc:Choice Requires="a14">
        <xdr:graphicFrame macro="">
          <xdr:nvGraphicFramePr>
            <xdr:cNvPr id="26" name="Region 2">
              <a:extLst>
                <a:ext uri="{FF2B5EF4-FFF2-40B4-BE49-F238E27FC236}">
                  <a16:creationId xmlns:a16="http://schemas.microsoft.com/office/drawing/2014/main" id="{D9F5D104-F7A7-488F-8384-8E7EB0AF4AE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3545110" y="289362"/>
              <a:ext cx="1828800" cy="1503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493060</xdr:colOff>
      <xdr:row>1</xdr:row>
      <xdr:rowOff>134471</xdr:rowOff>
    </xdr:from>
    <xdr:to>
      <xdr:col>21</xdr:col>
      <xdr:colOff>484094</xdr:colOff>
      <xdr:row>5</xdr:row>
      <xdr:rowOff>35859</xdr:rowOff>
    </xdr:to>
    <mc:AlternateContent xmlns:mc="http://schemas.openxmlformats.org/markup-compatibility/2006" xmlns:a14="http://schemas.microsoft.com/office/drawing/2010/main">
      <mc:Choice Requires="a14">
        <xdr:graphicFrame macro="">
          <xdr:nvGraphicFramePr>
            <xdr:cNvPr id="27" name="Product 2">
              <a:extLst>
                <a:ext uri="{FF2B5EF4-FFF2-40B4-BE49-F238E27FC236}">
                  <a16:creationId xmlns:a16="http://schemas.microsoft.com/office/drawing/2014/main" id="{ED7D7433-0EC2-4075-8819-F983DA98D9E9}"/>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7198660" y="320738"/>
              <a:ext cx="6087034" cy="6464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277910</xdr:colOff>
      <xdr:row>21</xdr:row>
      <xdr:rowOff>71719</xdr:rowOff>
    </xdr:from>
    <xdr:to>
      <xdr:col>3</xdr:col>
      <xdr:colOff>215157</xdr:colOff>
      <xdr:row>24</xdr:row>
      <xdr:rowOff>89648</xdr:rowOff>
    </xdr:to>
    <xdr:sp macro="" textlink="">
      <xdr:nvSpPr>
        <xdr:cNvPr id="37" name="Rectangle: Rounded Corners 36">
          <a:hlinkClick xmlns:r="http://schemas.openxmlformats.org/officeDocument/2006/relationships" r:id="rId7"/>
          <a:extLst>
            <a:ext uri="{FF2B5EF4-FFF2-40B4-BE49-F238E27FC236}">
              <a16:creationId xmlns:a16="http://schemas.microsoft.com/office/drawing/2014/main" id="{FD3FCEB8-19E5-4AF2-8273-2DFFECB72488}"/>
            </a:ext>
          </a:extLst>
        </xdr:cNvPr>
        <xdr:cNvSpPr/>
      </xdr:nvSpPr>
      <xdr:spPr>
        <a:xfrm>
          <a:off x="277910" y="3912199"/>
          <a:ext cx="1766047" cy="566569"/>
        </a:xfrm>
        <a:prstGeom prst="roundRect">
          <a:avLst>
            <a:gd name="adj" fmla="val 28494"/>
          </a:avLst>
        </a:prstGeom>
        <a:no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xdr:col>
      <xdr:colOff>71722</xdr:colOff>
      <xdr:row>21</xdr:row>
      <xdr:rowOff>170330</xdr:rowOff>
    </xdr:from>
    <xdr:to>
      <xdr:col>3</xdr:col>
      <xdr:colOff>206192</xdr:colOff>
      <xdr:row>23</xdr:row>
      <xdr:rowOff>143435</xdr:rowOff>
    </xdr:to>
    <xdr:sp macro="" textlink="">
      <xdr:nvSpPr>
        <xdr:cNvPr id="38" name="TextBox 37">
          <a:extLst>
            <a:ext uri="{FF2B5EF4-FFF2-40B4-BE49-F238E27FC236}">
              <a16:creationId xmlns:a16="http://schemas.microsoft.com/office/drawing/2014/main" id="{F8B5AA4F-A392-47C9-8174-20111AF48F7B}"/>
            </a:ext>
          </a:extLst>
        </xdr:cNvPr>
        <xdr:cNvSpPr txBox="1"/>
      </xdr:nvSpPr>
      <xdr:spPr>
        <a:xfrm>
          <a:off x="681322" y="4010810"/>
          <a:ext cx="1353670" cy="338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ABOUT</a:t>
          </a:r>
          <a:endParaRPr lang="en-US" sz="1100" b="1">
            <a:solidFill>
              <a:schemeClr val="bg1"/>
            </a:solidFill>
          </a:endParaRPr>
        </a:p>
      </xdr:txBody>
    </xdr:sp>
    <xdr:clientData/>
  </xdr:twoCellAnchor>
  <xdr:twoCellAnchor>
    <xdr:from>
      <xdr:col>6</xdr:col>
      <xdr:colOff>237066</xdr:colOff>
      <xdr:row>15</xdr:row>
      <xdr:rowOff>84668</xdr:rowOff>
    </xdr:from>
    <xdr:to>
      <xdr:col>18</xdr:col>
      <xdr:colOff>533400</xdr:colOff>
      <xdr:row>30</xdr:row>
      <xdr:rowOff>169334</xdr:rowOff>
    </xdr:to>
    <xdr:graphicFrame macro="">
      <xdr:nvGraphicFramePr>
        <xdr:cNvPr id="40" name="Chart 39">
          <a:extLst>
            <a:ext uri="{FF2B5EF4-FFF2-40B4-BE49-F238E27FC236}">
              <a16:creationId xmlns:a16="http://schemas.microsoft.com/office/drawing/2014/main" id="{21310A7E-9999-4476-A205-25985E7AD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xdr:col>
      <xdr:colOff>465665</xdr:colOff>
      <xdr:row>5</xdr:row>
      <xdr:rowOff>135467</xdr:rowOff>
    </xdr:from>
    <xdr:to>
      <xdr:col>7</xdr:col>
      <xdr:colOff>76199</xdr:colOff>
      <xdr:row>13</xdr:row>
      <xdr:rowOff>84667</xdr:rowOff>
    </xdr:to>
    <xdr:pic>
      <xdr:nvPicPr>
        <xdr:cNvPr id="42" name="Picture 41">
          <a:extLst>
            <a:ext uri="{FF2B5EF4-FFF2-40B4-BE49-F238E27FC236}">
              <a16:creationId xmlns:a16="http://schemas.microsoft.com/office/drawing/2014/main" id="{8A0524AE-30FB-12D7-2A6A-D1DEBA3C5884}"/>
            </a:ext>
          </a:extLst>
        </xdr:cNvPr>
        <xdr:cNvPicPr>
          <a:picLocks noChangeAspect="1"/>
        </xdr:cNvPicPr>
      </xdr:nvPicPr>
      <xdr:blipFill>
        <a:blip xmlns:r="http://schemas.openxmlformats.org/officeDocument/2006/relationships" r:embed="rId9" cstate="print">
          <a:biLevel thresh="50000"/>
          <a:extLst>
            <a:ext uri="{BEBA8EAE-BF5A-486C-A8C5-ECC9F3942E4B}">
              <a14:imgProps xmlns:a14="http://schemas.microsoft.com/office/drawing/2010/main">
                <a14:imgLayer r:embed="rId10">
                  <a14:imgEffect>
                    <a14:backgroundRemoval t="10000" b="90000" l="10000" r="90000"/>
                  </a14:imgEffect>
                  <a14:imgEffect>
                    <a14:saturation sat="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11"/>
            </a:ext>
          </a:extLst>
        </a:blip>
        <a:stretch>
          <a:fillRect/>
        </a:stretch>
      </xdr:blipFill>
      <xdr:spPr>
        <a:xfrm>
          <a:off x="2904065" y="1066800"/>
          <a:ext cx="1439334" cy="1439334"/>
        </a:xfrm>
        <a:prstGeom prst="rect">
          <a:avLst/>
        </a:prstGeom>
      </xdr:spPr>
    </xdr:pic>
    <xdr:clientData/>
  </xdr:twoCellAnchor>
  <xdr:twoCellAnchor>
    <xdr:from>
      <xdr:col>5</xdr:col>
      <xdr:colOff>575733</xdr:colOff>
      <xdr:row>10</xdr:row>
      <xdr:rowOff>169333</xdr:rowOff>
    </xdr:from>
    <xdr:to>
      <xdr:col>7</xdr:col>
      <xdr:colOff>364066</xdr:colOff>
      <xdr:row>12</xdr:row>
      <xdr:rowOff>33867</xdr:rowOff>
    </xdr:to>
    <xdr:sp macro="" textlink="">
      <xdr:nvSpPr>
        <xdr:cNvPr id="43" name="TextBox 42">
          <a:extLst>
            <a:ext uri="{FF2B5EF4-FFF2-40B4-BE49-F238E27FC236}">
              <a16:creationId xmlns:a16="http://schemas.microsoft.com/office/drawing/2014/main" id="{4C719B92-FE6B-9AED-7CCB-4FAE1617EE81}"/>
            </a:ext>
          </a:extLst>
        </xdr:cNvPr>
        <xdr:cNvSpPr txBox="1"/>
      </xdr:nvSpPr>
      <xdr:spPr>
        <a:xfrm>
          <a:off x="3623733" y="2032000"/>
          <a:ext cx="1007533" cy="237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1" u="sng"/>
            <a:t>REGION</a:t>
          </a:r>
        </a:p>
      </xdr:txBody>
    </xdr:sp>
    <xdr:clientData/>
  </xdr:twoCellAnchor>
  <xdr:twoCellAnchor>
    <xdr:from>
      <xdr:col>22</xdr:col>
      <xdr:colOff>287867</xdr:colOff>
      <xdr:row>14</xdr:row>
      <xdr:rowOff>160875</xdr:rowOff>
    </xdr:from>
    <xdr:to>
      <xdr:col>25</xdr:col>
      <xdr:colOff>307399</xdr:colOff>
      <xdr:row>18</xdr:row>
      <xdr:rowOff>129501</xdr:rowOff>
    </xdr:to>
    <xdr:sp macro="" textlink="">
      <xdr:nvSpPr>
        <xdr:cNvPr id="21" name="Rectangle: Rounded Corners 20">
          <a:extLst>
            <a:ext uri="{FF2B5EF4-FFF2-40B4-BE49-F238E27FC236}">
              <a16:creationId xmlns:a16="http://schemas.microsoft.com/office/drawing/2014/main" id="{13CCB3DD-C4BA-46DC-AA93-4EA1A4DA6FC6}"/>
            </a:ext>
          </a:extLst>
        </xdr:cNvPr>
        <xdr:cNvSpPr/>
      </xdr:nvSpPr>
      <xdr:spPr>
        <a:xfrm>
          <a:off x="13699067" y="2768608"/>
          <a:ext cx="1848332" cy="71369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468699</xdr:colOff>
      <xdr:row>15</xdr:row>
      <xdr:rowOff>12958</xdr:rowOff>
    </xdr:from>
    <xdr:to>
      <xdr:col>25</xdr:col>
      <xdr:colOff>334228</xdr:colOff>
      <xdr:row>18</xdr:row>
      <xdr:rowOff>181296</xdr:rowOff>
    </xdr:to>
    <xdr:sp macro="" textlink="">
      <xdr:nvSpPr>
        <xdr:cNvPr id="22" name="TextBox 21">
          <a:extLst>
            <a:ext uri="{FF2B5EF4-FFF2-40B4-BE49-F238E27FC236}">
              <a16:creationId xmlns:a16="http://schemas.microsoft.com/office/drawing/2014/main" id="{82CF7821-D285-4B96-9B2D-07B201EA62AA}"/>
            </a:ext>
          </a:extLst>
        </xdr:cNvPr>
        <xdr:cNvSpPr txBox="1"/>
      </xdr:nvSpPr>
      <xdr:spPr>
        <a:xfrm>
          <a:off x="13879899" y="2806958"/>
          <a:ext cx="1694329" cy="727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Product wise % Contribution</a:t>
          </a:r>
        </a:p>
      </xdr:txBody>
    </xdr:sp>
    <xdr:clientData/>
  </xdr:twoCellAnchor>
  <xdr:twoCellAnchor>
    <xdr:from>
      <xdr:col>8</xdr:col>
      <xdr:colOff>491067</xdr:colOff>
      <xdr:row>9</xdr:row>
      <xdr:rowOff>126999</xdr:rowOff>
    </xdr:from>
    <xdr:to>
      <xdr:col>11</xdr:col>
      <xdr:colOff>389466</xdr:colOff>
      <xdr:row>12</xdr:row>
      <xdr:rowOff>118532</xdr:rowOff>
    </xdr:to>
    <xdr:sp macro="" textlink="'Pivot Table'!H13">
      <xdr:nvSpPr>
        <xdr:cNvPr id="23" name="TextBox 22">
          <a:extLst>
            <a:ext uri="{FF2B5EF4-FFF2-40B4-BE49-F238E27FC236}">
              <a16:creationId xmlns:a16="http://schemas.microsoft.com/office/drawing/2014/main" id="{02B161BF-B48D-A77F-41E0-D3C50778D6B4}"/>
            </a:ext>
          </a:extLst>
        </xdr:cNvPr>
        <xdr:cNvSpPr txBox="1"/>
      </xdr:nvSpPr>
      <xdr:spPr>
        <a:xfrm>
          <a:off x="5367867" y="1803399"/>
          <a:ext cx="1727199" cy="5503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EC4751-25B7-401F-9892-8796D317C041}" type="TxLink">
            <a:rPr lang="en-US" sz="2800" b="1" i="0" u="none" strike="noStrike">
              <a:solidFill>
                <a:srgbClr val="000000"/>
              </a:solidFill>
              <a:latin typeface="Calibri"/>
              <a:cs typeface="Calibri"/>
            </a:rPr>
            <a:pPr/>
            <a:t>401.65M</a:t>
          </a:fld>
          <a:endParaRPr lang="en-US" sz="5400" b="1"/>
        </a:p>
      </xdr:txBody>
    </xdr:sp>
    <xdr:clientData/>
  </xdr:twoCellAnchor>
  <xdr:twoCellAnchor>
    <xdr:from>
      <xdr:col>12</xdr:col>
      <xdr:colOff>312464</xdr:colOff>
      <xdr:row>10</xdr:row>
      <xdr:rowOff>42333</xdr:rowOff>
    </xdr:from>
    <xdr:to>
      <xdr:col>15</xdr:col>
      <xdr:colOff>263574</xdr:colOff>
      <xdr:row>13</xdr:row>
      <xdr:rowOff>112069</xdr:rowOff>
    </xdr:to>
    <xdr:sp macro="" textlink="">
      <xdr:nvSpPr>
        <xdr:cNvPr id="24" name="Rectangle: Rounded Corners 23">
          <a:extLst>
            <a:ext uri="{FF2B5EF4-FFF2-40B4-BE49-F238E27FC236}">
              <a16:creationId xmlns:a16="http://schemas.microsoft.com/office/drawing/2014/main" id="{390993F5-FE5B-AA49-3D8A-9554776D8668}"/>
            </a:ext>
          </a:extLst>
        </xdr:cNvPr>
        <xdr:cNvSpPr/>
      </xdr:nvSpPr>
      <xdr:spPr>
        <a:xfrm>
          <a:off x="7627664" y="1905000"/>
          <a:ext cx="1779910" cy="628536"/>
        </a:xfrm>
        <a:prstGeom prst="roundRect">
          <a:avLst/>
        </a:prstGeom>
        <a:solidFill>
          <a:schemeClr val="accent1">
            <a:lumMod val="7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157709</xdr:colOff>
      <xdr:row>10</xdr:row>
      <xdr:rowOff>42333</xdr:rowOff>
    </xdr:from>
    <xdr:to>
      <xdr:col>15</xdr:col>
      <xdr:colOff>338667</xdr:colOff>
      <xdr:row>13</xdr:row>
      <xdr:rowOff>112069</xdr:rowOff>
    </xdr:to>
    <xdr:sp macro="" textlink="">
      <xdr:nvSpPr>
        <xdr:cNvPr id="25" name="Rectangle: Rounded Corners 24">
          <a:extLst>
            <a:ext uri="{FF2B5EF4-FFF2-40B4-BE49-F238E27FC236}">
              <a16:creationId xmlns:a16="http://schemas.microsoft.com/office/drawing/2014/main" id="{D411D8DE-B932-0A33-D51F-9E2D752C58BD}"/>
            </a:ext>
          </a:extLst>
        </xdr:cNvPr>
        <xdr:cNvSpPr/>
      </xdr:nvSpPr>
      <xdr:spPr>
        <a:xfrm>
          <a:off x="8082509" y="1905000"/>
          <a:ext cx="1400158" cy="62853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236264</xdr:colOff>
      <xdr:row>5</xdr:row>
      <xdr:rowOff>177800</xdr:rowOff>
    </xdr:from>
    <xdr:to>
      <xdr:col>19</xdr:col>
      <xdr:colOff>187374</xdr:colOff>
      <xdr:row>9</xdr:row>
      <xdr:rowOff>61269</xdr:rowOff>
    </xdr:to>
    <xdr:sp macro="" textlink="">
      <xdr:nvSpPr>
        <xdr:cNvPr id="28" name="Rectangle: Rounded Corners 27">
          <a:extLst>
            <a:ext uri="{FF2B5EF4-FFF2-40B4-BE49-F238E27FC236}">
              <a16:creationId xmlns:a16="http://schemas.microsoft.com/office/drawing/2014/main" id="{680751B2-A913-3F5A-F02C-BF39125B9202}"/>
            </a:ext>
          </a:extLst>
        </xdr:cNvPr>
        <xdr:cNvSpPr/>
      </xdr:nvSpPr>
      <xdr:spPr>
        <a:xfrm>
          <a:off x="9989864" y="1109133"/>
          <a:ext cx="1779910" cy="628536"/>
        </a:xfrm>
        <a:prstGeom prst="roundRect">
          <a:avLst/>
        </a:prstGeom>
        <a:solidFill>
          <a:srgbClr val="FFFF0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81509</xdr:colOff>
      <xdr:row>5</xdr:row>
      <xdr:rowOff>177800</xdr:rowOff>
    </xdr:from>
    <xdr:to>
      <xdr:col>19</xdr:col>
      <xdr:colOff>262467</xdr:colOff>
      <xdr:row>9</xdr:row>
      <xdr:rowOff>61269</xdr:rowOff>
    </xdr:to>
    <xdr:sp macro="" textlink="">
      <xdr:nvSpPr>
        <xdr:cNvPr id="29" name="Rectangle: Rounded Corners 28">
          <a:extLst>
            <a:ext uri="{FF2B5EF4-FFF2-40B4-BE49-F238E27FC236}">
              <a16:creationId xmlns:a16="http://schemas.microsoft.com/office/drawing/2014/main" id="{BCE07E5B-B9D9-51A8-018B-B75021C495D5}"/>
            </a:ext>
          </a:extLst>
        </xdr:cNvPr>
        <xdr:cNvSpPr/>
      </xdr:nvSpPr>
      <xdr:spPr>
        <a:xfrm>
          <a:off x="10444709" y="1109133"/>
          <a:ext cx="1400158" cy="62853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253197</xdr:colOff>
      <xdr:row>10</xdr:row>
      <xdr:rowOff>50799</xdr:rowOff>
    </xdr:from>
    <xdr:to>
      <xdr:col>19</xdr:col>
      <xdr:colOff>204307</xdr:colOff>
      <xdr:row>13</xdr:row>
      <xdr:rowOff>120535</xdr:rowOff>
    </xdr:to>
    <xdr:sp macro="" textlink="">
      <xdr:nvSpPr>
        <xdr:cNvPr id="30" name="Rectangle: Rounded Corners 29">
          <a:extLst>
            <a:ext uri="{FF2B5EF4-FFF2-40B4-BE49-F238E27FC236}">
              <a16:creationId xmlns:a16="http://schemas.microsoft.com/office/drawing/2014/main" id="{308247C8-33DD-D2A1-FA60-4E910AB2C924}"/>
            </a:ext>
          </a:extLst>
        </xdr:cNvPr>
        <xdr:cNvSpPr/>
      </xdr:nvSpPr>
      <xdr:spPr>
        <a:xfrm>
          <a:off x="10006797" y="1913466"/>
          <a:ext cx="1779910" cy="628536"/>
        </a:xfrm>
        <a:prstGeom prst="roundRect">
          <a:avLst/>
        </a:prstGeom>
        <a:solidFill>
          <a:srgbClr val="B80E6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98442</xdr:colOff>
      <xdr:row>10</xdr:row>
      <xdr:rowOff>50799</xdr:rowOff>
    </xdr:from>
    <xdr:to>
      <xdr:col>19</xdr:col>
      <xdr:colOff>279400</xdr:colOff>
      <xdr:row>13</xdr:row>
      <xdr:rowOff>120535</xdr:rowOff>
    </xdr:to>
    <xdr:sp macro="" textlink="">
      <xdr:nvSpPr>
        <xdr:cNvPr id="31" name="Rectangle: Rounded Corners 30">
          <a:extLst>
            <a:ext uri="{FF2B5EF4-FFF2-40B4-BE49-F238E27FC236}">
              <a16:creationId xmlns:a16="http://schemas.microsoft.com/office/drawing/2014/main" id="{C0424A72-5E6E-040D-3D1D-9BD7D99B8C08}"/>
            </a:ext>
          </a:extLst>
        </xdr:cNvPr>
        <xdr:cNvSpPr/>
      </xdr:nvSpPr>
      <xdr:spPr>
        <a:xfrm>
          <a:off x="10461642" y="1913466"/>
          <a:ext cx="1400158" cy="62853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313267</xdr:colOff>
      <xdr:row>6</xdr:row>
      <xdr:rowOff>101600</xdr:rowOff>
    </xdr:from>
    <xdr:to>
      <xdr:col>15</xdr:col>
      <xdr:colOff>110067</xdr:colOff>
      <xdr:row>8</xdr:row>
      <xdr:rowOff>118534</xdr:rowOff>
    </xdr:to>
    <xdr:sp macro="" textlink="'Pivot Table'!E28">
      <xdr:nvSpPr>
        <xdr:cNvPr id="45" name="TextBox 44">
          <a:extLst>
            <a:ext uri="{FF2B5EF4-FFF2-40B4-BE49-F238E27FC236}">
              <a16:creationId xmlns:a16="http://schemas.microsoft.com/office/drawing/2014/main" id="{5C5FCDC3-D7E1-FB3C-5385-5E99D809CC3B}"/>
            </a:ext>
          </a:extLst>
        </xdr:cNvPr>
        <xdr:cNvSpPr txBox="1"/>
      </xdr:nvSpPr>
      <xdr:spPr>
        <a:xfrm>
          <a:off x="8238067" y="1219200"/>
          <a:ext cx="1016000" cy="3894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D17228-EDCD-41CF-BD4B-7CA32B37864A}" type="TxLink">
            <a:rPr lang="en-US" sz="2000" b="1" i="0" u="none" strike="noStrike">
              <a:solidFill>
                <a:srgbClr val="000000"/>
              </a:solidFill>
              <a:latin typeface="Calibri"/>
              <a:cs typeface="Calibri"/>
            </a:rPr>
            <a:pPr/>
            <a:t>22.23%</a:t>
          </a:fld>
          <a:endParaRPr lang="en-US" sz="2000"/>
        </a:p>
      </xdr:txBody>
    </xdr:sp>
    <xdr:clientData/>
  </xdr:twoCellAnchor>
  <xdr:twoCellAnchor>
    <xdr:from>
      <xdr:col>13</xdr:col>
      <xdr:colOff>330200</xdr:colOff>
      <xdr:row>10</xdr:row>
      <xdr:rowOff>143933</xdr:rowOff>
    </xdr:from>
    <xdr:to>
      <xdr:col>15</xdr:col>
      <xdr:colOff>127000</xdr:colOff>
      <xdr:row>12</xdr:row>
      <xdr:rowOff>160867</xdr:rowOff>
    </xdr:to>
    <xdr:sp macro="" textlink="'Pivot Table'!E29">
      <xdr:nvSpPr>
        <xdr:cNvPr id="46" name="TextBox 45">
          <a:extLst>
            <a:ext uri="{FF2B5EF4-FFF2-40B4-BE49-F238E27FC236}">
              <a16:creationId xmlns:a16="http://schemas.microsoft.com/office/drawing/2014/main" id="{ED80EDB9-C2C7-9670-6D0B-233598E682FE}"/>
            </a:ext>
          </a:extLst>
        </xdr:cNvPr>
        <xdr:cNvSpPr txBox="1"/>
      </xdr:nvSpPr>
      <xdr:spPr>
        <a:xfrm>
          <a:off x="8255000" y="2006600"/>
          <a:ext cx="1016000" cy="3894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48A6E9-FA7C-428B-900E-09716E6627C8}" type="TxLink">
            <a:rPr lang="en-US" sz="2000" b="1" i="0" u="none" strike="noStrike">
              <a:solidFill>
                <a:srgbClr val="000000"/>
              </a:solidFill>
              <a:latin typeface="Calibri"/>
              <a:cs typeface="Calibri"/>
            </a:rPr>
            <a:pPr/>
            <a:t>26.84%</a:t>
          </a:fld>
          <a:endParaRPr lang="en-US" sz="2000"/>
        </a:p>
      </xdr:txBody>
    </xdr:sp>
    <xdr:clientData/>
  </xdr:twoCellAnchor>
  <xdr:twoCellAnchor>
    <xdr:from>
      <xdr:col>17</xdr:col>
      <xdr:colOff>245534</xdr:colOff>
      <xdr:row>6</xdr:row>
      <xdr:rowOff>101600</xdr:rowOff>
    </xdr:from>
    <xdr:to>
      <xdr:col>19</xdr:col>
      <xdr:colOff>42334</xdr:colOff>
      <xdr:row>8</xdr:row>
      <xdr:rowOff>118534</xdr:rowOff>
    </xdr:to>
    <xdr:sp macro="" textlink="'Pivot Table'!E30">
      <xdr:nvSpPr>
        <xdr:cNvPr id="47" name="TextBox 46">
          <a:extLst>
            <a:ext uri="{FF2B5EF4-FFF2-40B4-BE49-F238E27FC236}">
              <a16:creationId xmlns:a16="http://schemas.microsoft.com/office/drawing/2014/main" id="{CF7D6C1F-808B-6E7F-CD9B-A007A1C0B62E}"/>
            </a:ext>
          </a:extLst>
        </xdr:cNvPr>
        <xdr:cNvSpPr txBox="1"/>
      </xdr:nvSpPr>
      <xdr:spPr>
        <a:xfrm>
          <a:off x="10608734" y="1219200"/>
          <a:ext cx="1016000" cy="3894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7C2B46D-6051-42DC-908C-8A0BE8A83EF4}" type="TxLink">
            <a:rPr lang="en-US" sz="2000" b="1" i="0" u="none" strike="noStrike">
              <a:solidFill>
                <a:srgbClr val="000000"/>
              </a:solidFill>
              <a:latin typeface="Calibri"/>
              <a:cs typeface="Calibri"/>
            </a:rPr>
            <a:pPr/>
            <a:t>23.39%</a:t>
          </a:fld>
          <a:endParaRPr lang="en-US" sz="2000"/>
        </a:p>
      </xdr:txBody>
    </xdr:sp>
    <xdr:clientData/>
  </xdr:twoCellAnchor>
  <xdr:twoCellAnchor>
    <xdr:from>
      <xdr:col>17</xdr:col>
      <xdr:colOff>279401</xdr:colOff>
      <xdr:row>10</xdr:row>
      <xdr:rowOff>169333</xdr:rowOff>
    </xdr:from>
    <xdr:to>
      <xdr:col>19</xdr:col>
      <xdr:colOff>76201</xdr:colOff>
      <xdr:row>13</xdr:row>
      <xdr:rowOff>0</xdr:rowOff>
    </xdr:to>
    <xdr:sp macro="" textlink="'Pivot Table'!E31">
      <xdr:nvSpPr>
        <xdr:cNvPr id="48" name="TextBox 47">
          <a:extLst>
            <a:ext uri="{FF2B5EF4-FFF2-40B4-BE49-F238E27FC236}">
              <a16:creationId xmlns:a16="http://schemas.microsoft.com/office/drawing/2014/main" id="{CA4B41DF-FB2B-D15C-B21A-C75C941AA97F}"/>
            </a:ext>
          </a:extLst>
        </xdr:cNvPr>
        <xdr:cNvSpPr txBox="1"/>
      </xdr:nvSpPr>
      <xdr:spPr>
        <a:xfrm>
          <a:off x="10642601" y="2032000"/>
          <a:ext cx="1016000" cy="3894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2EB645-5758-4C19-A48B-2A113114672F}" type="TxLink">
            <a:rPr lang="en-US" sz="2000" b="1" i="0" u="none" strike="noStrike">
              <a:solidFill>
                <a:srgbClr val="000000"/>
              </a:solidFill>
              <a:latin typeface="Calibri"/>
              <a:cs typeface="Calibri"/>
            </a:rPr>
            <a:pPr/>
            <a:t>27.54%</a:t>
          </a:fld>
          <a:endParaRPr lang="en-US" sz="2000"/>
        </a:p>
      </xdr:txBody>
    </xdr:sp>
    <xdr:clientData/>
  </xdr:twoCellAnchor>
  <xdr:twoCellAnchor editAs="oneCell">
    <xdr:from>
      <xdr:col>12</xdr:col>
      <xdr:colOff>355601</xdr:colOff>
      <xdr:row>6</xdr:row>
      <xdr:rowOff>93134</xdr:rowOff>
    </xdr:from>
    <xdr:to>
      <xdr:col>13</xdr:col>
      <xdr:colOff>123405</xdr:colOff>
      <xdr:row>8</xdr:row>
      <xdr:rowOff>156125</xdr:rowOff>
    </xdr:to>
    <xdr:pic>
      <xdr:nvPicPr>
        <xdr:cNvPr id="5" name="Picture 4">
          <a:extLst>
            <a:ext uri="{FF2B5EF4-FFF2-40B4-BE49-F238E27FC236}">
              <a16:creationId xmlns:a16="http://schemas.microsoft.com/office/drawing/2014/main" id="{E6DC1848-33A8-56FD-9359-36F0F0E8EF84}"/>
            </a:ext>
          </a:extLst>
        </xdr:cNvPr>
        <xdr:cNvPicPr>
          <a:picLocks noChangeAspect="1"/>
        </xdr:cNvPicPr>
      </xdr:nvPicPr>
      <xdr:blipFill>
        <a:blip xmlns:r="http://schemas.openxmlformats.org/officeDocument/2006/relationships" r:embed="rId12" cstate="print">
          <a:biLevel thresh="50000"/>
          <a:extLst>
            <a:ext uri="{BEBA8EAE-BF5A-486C-A8C5-ECC9F3942E4B}">
              <a14:imgProps xmlns:a14="http://schemas.microsoft.com/office/drawing/2010/main">
                <a14:imgLayer r:embed="rId13">
                  <a14:imgEffect>
                    <a14:backgroundRemoval t="4073" b="97487" l="3600" r="95600"/>
                  </a14:imgEffect>
                  <a14:imgEffect>
                    <a14:colorTemperature colorTemp="112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14"/>
            </a:ext>
          </a:extLst>
        </a:blip>
        <a:stretch>
          <a:fillRect/>
        </a:stretch>
      </xdr:blipFill>
      <xdr:spPr>
        <a:xfrm>
          <a:off x="7670801" y="1210734"/>
          <a:ext cx="377404" cy="435524"/>
        </a:xfrm>
        <a:prstGeom prst="rect">
          <a:avLst/>
        </a:prstGeom>
      </xdr:spPr>
    </xdr:pic>
    <xdr:clientData/>
  </xdr:twoCellAnchor>
  <xdr:twoCellAnchor editAs="oneCell">
    <xdr:from>
      <xdr:col>16</xdr:col>
      <xdr:colOff>237067</xdr:colOff>
      <xdr:row>6</xdr:row>
      <xdr:rowOff>33866</xdr:rowOff>
    </xdr:from>
    <xdr:to>
      <xdr:col>17</xdr:col>
      <xdr:colOff>86104</xdr:colOff>
      <xdr:row>9</xdr:row>
      <xdr:rowOff>33864</xdr:rowOff>
    </xdr:to>
    <xdr:pic>
      <xdr:nvPicPr>
        <xdr:cNvPr id="20" name="Graphic 19">
          <a:extLst>
            <a:ext uri="{FF2B5EF4-FFF2-40B4-BE49-F238E27FC236}">
              <a16:creationId xmlns:a16="http://schemas.microsoft.com/office/drawing/2014/main" id="{40F8FFC6-5B3A-FF89-7DC9-CC1FD99971C7}"/>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 uri="{837473B0-CC2E-450A-ABE3-18F120FF3D39}">
              <a1611:picAttrSrcUrl xmlns:a1611="http://schemas.microsoft.com/office/drawing/2016/11/main" r:id="rId17"/>
            </a:ext>
          </a:extLst>
        </a:blip>
        <a:stretch>
          <a:fillRect/>
        </a:stretch>
      </xdr:blipFill>
      <xdr:spPr>
        <a:xfrm>
          <a:off x="9990667" y="1151466"/>
          <a:ext cx="458637" cy="558798"/>
        </a:xfrm>
        <a:prstGeom prst="rect">
          <a:avLst/>
        </a:prstGeom>
      </xdr:spPr>
    </xdr:pic>
    <xdr:clientData/>
  </xdr:twoCellAnchor>
  <xdr:twoCellAnchor editAs="oneCell">
    <xdr:from>
      <xdr:col>16</xdr:col>
      <xdr:colOff>287867</xdr:colOff>
      <xdr:row>11</xdr:row>
      <xdr:rowOff>1</xdr:rowOff>
    </xdr:from>
    <xdr:to>
      <xdr:col>17</xdr:col>
      <xdr:colOff>84963</xdr:colOff>
      <xdr:row>12</xdr:row>
      <xdr:rowOff>160867</xdr:rowOff>
    </xdr:to>
    <xdr:pic>
      <xdr:nvPicPr>
        <xdr:cNvPr id="33" name="Graphic 32">
          <a:extLst>
            <a:ext uri="{FF2B5EF4-FFF2-40B4-BE49-F238E27FC236}">
              <a16:creationId xmlns:a16="http://schemas.microsoft.com/office/drawing/2014/main" id="{7A8AE962-5931-C9B0-E2EB-9A75B439822F}"/>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 uri="{837473B0-CC2E-450A-ABE3-18F120FF3D39}">
              <a1611:picAttrSrcUrl xmlns:a1611="http://schemas.microsoft.com/office/drawing/2016/11/main" r:id="rId20"/>
            </a:ext>
          </a:extLst>
        </a:blip>
        <a:stretch>
          <a:fillRect/>
        </a:stretch>
      </xdr:blipFill>
      <xdr:spPr>
        <a:xfrm>
          <a:off x="10041467" y="2048934"/>
          <a:ext cx="406696" cy="347133"/>
        </a:xfrm>
        <a:prstGeom prst="rect">
          <a:avLst/>
        </a:prstGeom>
      </xdr:spPr>
    </xdr:pic>
    <xdr:clientData/>
  </xdr:twoCellAnchor>
  <xdr:twoCellAnchor>
    <xdr:from>
      <xdr:col>12</xdr:col>
      <xdr:colOff>287867</xdr:colOff>
      <xdr:row>9</xdr:row>
      <xdr:rowOff>84666</xdr:rowOff>
    </xdr:from>
    <xdr:to>
      <xdr:col>13</xdr:col>
      <xdr:colOff>194733</xdr:colOff>
      <xdr:row>14</xdr:row>
      <xdr:rowOff>33866</xdr:rowOff>
    </xdr:to>
    <xdr:sp macro="" textlink="">
      <xdr:nvSpPr>
        <xdr:cNvPr id="36" name="TextBox 35">
          <a:extLst>
            <a:ext uri="{FF2B5EF4-FFF2-40B4-BE49-F238E27FC236}">
              <a16:creationId xmlns:a16="http://schemas.microsoft.com/office/drawing/2014/main" id="{3064CB46-EEBB-C661-2373-A1BCD5F89B3A}"/>
            </a:ext>
          </a:extLst>
        </xdr:cNvPr>
        <xdr:cNvSpPr txBox="1"/>
      </xdr:nvSpPr>
      <xdr:spPr>
        <a:xfrm>
          <a:off x="7603067" y="1761066"/>
          <a:ext cx="516466" cy="880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400" b="1">
              <a:latin typeface="Algerian" panose="04020705040A02060702" pitchFamily="82" charset="0"/>
            </a:rPr>
            <a:t>N</a:t>
          </a:r>
          <a:endParaRPr lang="en-US" sz="1100" b="1">
            <a:latin typeface="Algerian" panose="04020705040A02060702" pitchFamily="82" charset="0"/>
          </a:endParaRPr>
        </a:p>
      </xdr:txBody>
    </xdr:sp>
    <xdr:clientData/>
  </xdr:twoCellAnchor>
  <xdr:twoCellAnchor>
    <xdr:from>
      <xdr:col>20</xdr:col>
      <xdr:colOff>313267</xdr:colOff>
      <xdr:row>17</xdr:row>
      <xdr:rowOff>33867</xdr:rowOff>
    </xdr:from>
    <xdr:to>
      <xdr:col>28</xdr:col>
      <xdr:colOff>8467</xdr:colOff>
      <xdr:row>35</xdr:row>
      <xdr:rowOff>33868</xdr:rowOff>
    </xdr:to>
    <xdr:graphicFrame macro="">
      <xdr:nvGraphicFramePr>
        <xdr:cNvPr id="39" name="Chart 38">
          <a:extLst>
            <a:ext uri="{FF2B5EF4-FFF2-40B4-BE49-F238E27FC236}">
              <a16:creationId xmlns:a16="http://schemas.microsoft.com/office/drawing/2014/main" id="{6F0083B0-0663-4CE5-A44E-6E5247ABC9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20</xdr:col>
      <xdr:colOff>330201</xdr:colOff>
      <xdr:row>17</xdr:row>
      <xdr:rowOff>33867</xdr:rowOff>
    </xdr:from>
    <xdr:to>
      <xdr:col>21</xdr:col>
      <xdr:colOff>524933</xdr:colOff>
      <xdr:row>18</xdr:row>
      <xdr:rowOff>177800</xdr:rowOff>
    </xdr:to>
    <xdr:sp macro="" textlink="">
      <xdr:nvSpPr>
        <xdr:cNvPr id="41" name="Rectangle: Rounded Corners 40">
          <a:extLst>
            <a:ext uri="{FF2B5EF4-FFF2-40B4-BE49-F238E27FC236}">
              <a16:creationId xmlns:a16="http://schemas.microsoft.com/office/drawing/2014/main" id="{4B490223-B394-9769-37E5-9E0AE0D89382}"/>
            </a:ext>
          </a:extLst>
        </xdr:cNvPr>
        <xdr:cNvSpPr/>
      </xdr:nvSpPr>
      <xdr:spPr>
        <a:xfrm>
          <a:off x="12522201" y="3200400"/>
          <a:ext cx="804332" cy="330200"/>
        </a:xfrm>
        <a:prstGeom prst="roundRect">
          <a:avLst>
            <a:gd name="adj" fmla="val 29488"/>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16933</xdr:colOff>
      <xdr:row>17</xdr:row>
      <xdr:rowOff>59267</xdr:rowOff>
    </xdr:from>
    <xdr:to>
      <xdr:col>22</xdr:col>
      <xdr:colOff>270933</xdr:colOff>
      <xdr:row>18</xdr:row>
      <xdr:rowOff>101600</xdr:rowOff>
    </xdr:to>
    <xdr:sp macro="" textlink="">
      <xdr:nvSpPr>
        <xdr:cNvPr id="44" name="Rectangle 43">
          <a:extLst>
            <a:ext uri="{FF2B5EF4-FFF2-40B4-BE49-F238E27FC236}">
              <a16:creationId xmlns:a16="http://schemas.microsoft.com/office/drawing/2014/main" id="{5E817C68-6CF5-9B83-4A61-80F0F531F3D8}"/>
            </a:ext>
          </a:extLst>
        </xdr:cNvPr>
        <xdr:cNvSpPr/>
      </xdr:nvSpPr>
      <xdr:spPr>
        <a:xfrm>
          <a:off x="13428133" y="3225800"/>
          <a:ext cx="254000" cy="22860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511779</xdr:colOff>
      <xdr:row>1</xdr:row>
      <xdr:rowOff>120695</xdr:rowOff>
    </xdr:from>
    <xdr:to>
      <xdr:col>11</xdr:col>
      <xdr:colOff>425403</xdr:colOff>
      <xdr:row>4</xdr:row>
      <xdr:rowOff>144671</xdr:rowOff>
    </xdr:to>
    <xdr:sp macro="" textlink="">
      <xdr:nvSpPr>
        <xdr:cNvPr id="4" name="Rectangle: Rounded Corners 3">
          <a:extLst>
            <a:ext uri="{FF2B5EF4-FFF2-40B4-BE49-F238E27FC236}">
              <a16:creationId xmlns:a16="http://schemas.microsoft.com/office/drawing/2014/main" id="{A056F00F-3E37-4B13-8C11-57CD280AC546}"/>
            </a:ext>
          </a:extLst>
        </xdr:cNvPr>
        <xdr:cNvSpPr/>
      </xdr:nvSpPr>
      <xdr:spPr>
        <a:xfrm>
          <a:off x="2340579" y="306962"/>
          <a:ext cx="4790424" cy="582776"/>
        </a:xfrm>
        <a:prstGeom prst="roundRect">
          <a:avLst>
            <a:gd name="adj" fmla="val 50000"/>
          </a:avLst>
        </a:prstGeom>
        <a:solidFill>
          <a:srgbClr val="48599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1">
              <a:solidFill>
                <a:schemeClr val="bg1"/>
              </a:solidFill>
              <a:latin typeface="Arial Black" panose="020B0A04020102020204" pitchFamily="34" charset="0"/>
            </a:rPr>
            <a:t> SALES DATA DASHBOARD</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142875</xdr:colOff>
      <xdr:row>0</xdr:row>
      <xdr:rowOff>76200</xdr:rowOff>
    </xdr:from>
    <xdr:to>
      <xdr:col>26</xdr:col>
      <xdr:colOff>35859</xdr:colOff>
      <xdr:row>34</xdr:row>
      <xdr:rowOff>177800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55E0B06C-59C3-4985-A845-345857E0EAE2}"/>
            </a:ext>
          </a:extLst>
        </xdr:cNvPr>
        <xdr:cNvSpPr/>
      </xdr:nvSpPr>
      <xdr:spPr>
        <a:xfrm>
          <a:off x="142875" y="76200"/>
          <a:ext cx="15742584" cy="6319520"/>
        </a:xfrm>
        <a:prstGeom prst="roundRect">
          <a:avLst>
            <a:gd name="adj" fmla="val 3201"/>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3</xdr:col>
      <xdr:colOff>393246</xdr:colOff>
      <xdr:row>1</xdr:row>
      <xdr:rowOff>44495</xdr:rowOff>
    </xdr:from>
    <xdr:to>
      <xdr:col>22</xdr:col>
      <xdr:colOff>12246</xdr:colOff>
      <xdr:row>34</xdr:row>
      <xdr:rowOff>85165</xdr:rowOff>
    </xdr:to>
    <xdr:sp macro="" textlink="">
      <xdr:nvSpPr>
        <xdr:cNvPr id="3" name="Rectangle: Rounded Corners 2">
          <a:extLst>
            <a:ext uri="{FF2B5EF4-FFF2-40B4-BE49-F238E27FC236}">
              <a16:creationId xmlns:a16="http://schemas.microsoft.com/office/drawing/2014/main" id="{7B161271-E2C4-43A5-8982-96578DF65CBC}"/>
            </a:ext>
          </a:extLst>
        </xdr:cNvPr>
        <xdr:cNvSpPr/>
      </xdr:nvSpPr>
      <xdr:spPr>
        <a:xfrm>
          <a:off x="2222046" y="227375"/>
          <a:ext cx="11201400" cy="6075710"/>
        </a:xfrm>
        <a:prstGeom prst="roundRect">
          <a:avLst>
            <a:gd name="adj" fmla="val 3782"/>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200"/>
            <a:t>   </a:t>
          </a:r>
          <a:endParaRPr lang="en-US" sz="1200">
            <a:effectLst/>
          </a:endParaRPr>
        </a:p>
        <a:p>
          <a:pPr algn="l"/>
          <a:r>
            <a:rPr lang="en-US" sz="1200"/>
            <a:t> </a:t>
          </a:r>
        </a:p>
      </xdr:txBody>
    </xdr:sp>
    <xdr:clientData/>
  </xdr:twoCellAnchor>
  <xdr:twoCellAnchor>
    <xdr:from>
      <xdr:col>0</xdr:col>
      <xdr:colOff>289576</xdr:colOff>
      <xdr:row>9</xdr:row>
      <xdr:rowOff>175956</xdr:rowOff>
    </xdr:from>
    <xdr:to>
      <xdr:col>3</xdr:col>
      <xdr:colOff>191601</xdr:colOff>
      <xdr:row>13</xdr:row>
      <xdr:rowOff>17053</xdr:rowOff>
    </xdr:to>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8CCF6572-E242-4F89-802A-61D247D30359}"/>
            </a:ext>
          </a:extLst>
        </xdr:cNvPr>
        <xdr:cNvSpPr/>
      </xdr:nvSpPr>
      <xdr:spPr>
        <a:xfrm>
          <a:off x="289576" y="1821876"/>
          <a:ext cx="1730825" cy="572617"/>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rgbClr val="FFFFFF"/>
              </a:solidFill>
            </a:rPr>
            <a:t>PRODUCTS</a:t>
          </a:r>
        </a:p>
      </xdr:txBody>
    </xdr:sp>
    <xdr:clientData/>
  </xdr:twoCellAnchor>
  <xdr:twoCellAnchor>
    <xdr:from>
      <xdr:col>0</xdr:col>
      <xdr:colOff>289576</xdr:colOff>
      <xdr:row>13</xdr:row>
      <xdr:rowOff>148660</xdr:rowOff>
    </xdr:from>
    <xdr:to>
      <xdr:col>3</xdr:col>
      <xdr:colOff>191601</xdr:colOff>
      <xdr:row>16</xdr:row>
      <xdr:rowOff>172634</xdr:rowOff>
    </xdr:to>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9324D837-C3A2-47D6-BC02-FB800376E468}"/>
            </a:ext>
          </a:extLst>
        </xdr:cNvPr>
        <xdr:cNvSpPr/>
      </xdr:nvSpPr>
      <xdr:spPr>
        <a:xfrm>
          <a:off x="289576" y="2526100"/>
          <a:ext cx="1730825" cy="572614"/>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bg1"/>
              </a:solidFill>
            </a:rPr>
            <a:t>SALESMANS</a:t>
          </a:r>
        </a:p>
      </xdr:txBody>
    </xdr:sp>
    <xdr:clientData/>
  </xdr:twoCellAnchor>
  <xdr:twoCellAnchor>
    <xdr:from>
      <xdr:col>0</xdr:col>
      <xdr:colOff>289576</xdr:colOff>
      <xdr:row>17</xdr:row>
      <xdr:rowOff>120149</xdr:rowOff>
    </xdr:from>
    <xdr:to>
      <xdr:col>3</xdr:col>
      <xdr:colOff>191601</xdr:colOff>
      <xdr:row>20</xdr:row>
      <xdr:rowOff>145336</xdr:rowOff>
    </xdr:to>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1F2955C4-C5A1-40FD-884C-507D65EF18B8}"/>
            </a:ext>
          </a:extLst>
        </xdr:cNvPr>
        <xdr:cNvSpPr/>
      </xdr:nvSpPr>
      <xdr:spPr>
        <a:xfrm>
          <a:off x="289576" y="3229109"/>
          <a:ext cx="1730825" cy="573827"/>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bg1"/>
              </a:solidFill>
            </a:rPr>
            <a:t>REGION</a:t>
          </a:r>
        </a:p>
      </xdr:txBody>
    </xdr:sp>
    <xdr:clientData/>
  </xdr:twoCellAnchor>
  <xdr:twoCellAnchor>
    <xdr:from>
      <xdr:col>3</xdr:col>
      <xdr:colOff>507771</xdr:colOff>
      <xdr:row>5</xdr:row>
      <xdr:rowOff>76201</xdr:rowOff>
    </xdr:from>
    <xdr:to>
      <xdr:col>21</xdr:col>
      <xdr:colOff>516467</xdr:colOff>
      <xdr:row>33</xdr:row>
      <xdr:rowOff>148226</xdr:rowOff>
    </xdr:to>
    <xdr:sp macro="" textlink="">
      <xdr:nvSpPr>
        <xdr:cNvPr id="10" name="Rectangle: Rounded Corners 9">
          <a:extLst>
            <a:ext uri="{FF2B5EF4-FFF2-40B4-BE49-F238E27FC236}">
              <a16:creationId xmlns:a16="http://schemas.microsoft.com/office/drawing/2014/main" id="{3A0121E4-8D01-464D-AE99-316A7B4D9319}"/>
            </a:ext>
          </a:extLst>
        </xdr:cNvPr>
        <xdr:cNvSpPr/>
      </xdr:nvSpPr>
      <xdr:spPr>
        <a:xfrm>
          <a:off x="2336571" y="1007534"/>
          <a:ext cx="10981496" cy="5287492"/>
        </a:xfrm>
        <a:prstGeom prst="roundRect">
          <a:avLst/>
        </a:prstGeom>
        <a:solidFill>
          <a:schemeClr val="accent1">
            <a:lumMod val="5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t>ABOUT</a:t>
          </a:r>
          <a:endParaRPr lang="en-US" sz="1100"/>
        </a:p>
      </xdr:txBody>
    </xdr:sp>
    <xdr:clientData/>
  </xdr:twoCellAnchor>
  <xdr:twoCellAnchor>
    <xdr:from>
      <xdr:col>0</xdr:col>
      <xdr:colOff>277910</xdr:colOff>
      <xdr:row>21</xdr:row>
      <xdr:rowOff>71719</xdr:rowOff>
    </xdr:from>
    <xdr:to>
      <xdr:col>3</xdr:col>
      <xdr:colOff>215157</xdr:colOff>
      <xdr:row>24</xdr:row>
      <xdr:rowOff>89648</xdr:rowOff>
    </xdr:to>
    <xdr:sp macro="" textlink="">
      <xdr:nvSpPr>
        <xdr:cNvPr id="25" name="Rectangle: Rounded Corners 24">
          <a:hlinkClick xmlns:r="http://schemas.openxmlformats.org/officeDocument/2006/relationships" r:id="rId1"/>
          <a:extLst>
            <a:ext uri="{FF2B5EF4-FFF2-40B4-BE49-F238E27FC236}">
              <a16:creationId xmlns:a16="http://schemas.microsoft.com/office/drawing/2014/main" id="{265BDE16-3370-4873-A35B-5E4246D8AA1C}"/>
            </a:ext>
          </a:extLst>
        </xdr:cNvPr>
        <xdr:cNvSpPr/>
      </xdr:nvSpPr>
      <xdr:spPr>
        <a:xfrm>
          <a:off x="277910" y="3912199"/>
          <a:ext cx="1766047" cy="566569"/>
        </a:xfrm>
        <a:prstGeom prst="roundRect">
          <a:avLst>
            <a:gd name="adj" fmla="val 28494"/>
          </a:avLst>
        </a:prstGeom>
        <a:solidFill>
          <a:schemeClr val="bg1"/>
        </a:soli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xdr:col>
      <xdr:colOff>71722</xdr:colOff>
      <xdr:row>21</xdr:row>
      <xdr:rowOff>170330</xdr:rowOff>
    </xdr:from>
    <xdr:to>
      <xdr:col>3</xdr:col>
      <xdr:colOff>206192</xdr:colOff>
      <xdr:row>23</xdr:row>
      <xdr:rowOff>143435</xdr:rowOff>
    </xdr:to>
    <xdr:sp macro="" textlink="">
      <xdr:nvSpPr>
        <xdr:cNvPr id="26" name="TextBox 25">
          <a:extLst>
            <a:ext uri="{FF2B5EF4-FFF2-40B4-BE49-F238E27FC236}">
              <a16:creationId xmlns:a16="http://schemas.microsoft.com/office/drawing/2014/main" id="{26F9CDAD-8ED0-40F0-88EA-27C1401CF400}"/>
            </a:ext>
          </a:extLst>
        </xdr:cNvPr>
        <xdr:cNvSpPr txBox="1"/>
      </xdr:nvSpPr>
      <xdr:spPr>
        <a:xfrm>
          <a:off x="681322" y="4010810"/>
          <a:ext cx="1353670" cy="338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1"/>
              </a:solidFill>
            </a:rPr>
            <a:t>ABOUT</a:t>
          </a:r>
          <a:endParaRPr lang="en-US" sz="1100" b="1">
            <a:solidFill>
              <a:schemeClr val="tx1"/>
            </a:solidFill>
          </a:endParaRPr>
        </a:p>
      </xdr:txBody>
    </xdr:sp>
    <xdr:clientData/>
  </xdr:twoCellAnchor>
  <xdr:twoCellAnchor>
    <xdr:from>
      <xdr:col>9</xdr:col>
      <xdr:colOff>474134</xdr:colOff>
      <xdr:row>11</xdr:row>
      <xdr:rowOff>59267</xdr:rowOff>
    </xdr:from>
    <xdr:to>
      <xdr:col>11</xdr:col>
      <xdr:colOff>423334</xdr:colOff>
      <xdr:row>13</xdr:row>
      <xdr:rowOff>50800</xdr:rowOff>
    </xdr:to>
    <xdr:sp macro="" textlink="'Pivot Table'!M53">
      <xdr:nvSpPr>
        <xdr:cNvPr id="30" name="TextBox 29">
          <a:extLst>
            <a:ext uri="{FF2B5EF4-FFF2-40B4-BE49-F238E27FC236}">
              <a16:creationId xmlns:a16="http://schemas.microsoft.com/office/drawing/2014/main" id="{F55BD429-CEC9-4C79-B5B9-6C307C799171}"/>
            </a:ext>
          </a:extLst>
        </xdr:cNvPr>
        <xdr:cNvSpPr txBox="1"/>
      </xdr:nvSpPr>
      <xdr:spPr>
        <a:xfrm>
          <a:off x="5960534" y="2070947"/>
          <a:ext cx="1168400" cy="357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27F802-BEBB-4FF5-99B3-38FBEB88F7E3}" type="TxLink">
            <a:rPr lang="en-US" sz="1100" b="0" i="0" u="none" strike="noStrike">
              <a:solidFill>
                <a:srgbClr val="000000"/>
              </a:solidFill>
              <a:latin typeface="Calibri"/>
              <a:cs typeface="Calibri"/>
            </a:rPr>
            <a:pPr/>
            <a:t> </a:t>
          </a:fld>
          <a:endParaRPr lang="en-US" sz="1100"/>
        </a:p>
      </xdr:txBody>
    </xdr:sp>
    <xdr:clientData/>
  </xdr:twoCellAnchor>
  <xdr:twoCellAnchor>
    <xdr:from>
      <xdr:col>4</xdr:col>
      <xdr:colOff>169333</xdr:colOff>
      <xdr:row>26</xdr:row>
      <xdr:rowOff>177800</xdr:rowOff>
    </xdr:from>
    <xdr:to>
      <xdr:col>7</xdr:col>
      <xdr:colOff>440267</xdr:colOff>
      <xdr:row>29</xdr:row>
      <xdr:rowOff>93134</xdr:rowOff>
    </xdr:to>
    <xdr:sp macro="" textlink="">
      <xdr:nvSpPr>
        <xdr:cNvPr id="31" name="TextBox 30">
          <a:extLst>
            <a:ext uri="{FF2B5EF4-FFF2-40B4-BE49-F238E27FC236}">
              <a16:creationId xmlns:a16="http://schemas.microsoft.com/office/drawing/2014/main" id="{58360FA6-4A09-BD0B-4AE1-23CC7832D086}"/>
            </a:ext>
          </a:extLst>
        </xdr:cNvPr>
        <xdr:cNvSpPr txBox="1"/>
      </xdr:nvSpPr>
      <xdr:spPr>
        <a:xfrm>
          <a:off x="2607733" y="5020733"/>
          <a:ext cx="2099734" cy="474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FFFF00"/>
              </a:solidFill>
              <a:latin typeface="Freestyle Script" panose="030804020302050B0404" pitchFamily="66" charset="0"/>
            </a:rPr>
            <a:t>Created By</a:t>
          </a:r>
          <a:endParaRPr lang="en-US" sz="1100" b="1">
            <a:solidFill>
              <a:srgbClr val="FFFF00"/>
            </a:solidFill>
            <a:latin typeface="Freestyle Script" panose="030804020302050B0404" pitchFamily="66" charset="0"/>
          </a:endParaRPr>
        </a:p>
      </xdr:txBody>
    </xdr:sp>
    <xdr:clientData/>
  </xdr:twoCellAnchor>
  <xdr:twoCellAnchor>
    <xdr:from>
      <xdr:col>4</xdr:col>
      <xdr:colOff>524933</xdr:colOff>
      <xdr:row>29</xdr:row>
      <xdr:rowOff>33867</xdr:rowOff>
    </xdr:from>
    <xdr:to>
      <xdr:col>9</xdr:col>
      <xdr:colOff>381000</xdr:colOff>
      <xdr:row>31</xdr:row>
      <xdr:rowOff>152400</xdr:rowOff>
    </xdr:to>
    <xdr:sp macro="" textlink="">
      <xdr:nvSpPr>
        <xdr:cNvPr id="32" name="TextBox 31">
          <a:extLst>
            <a:ext uri="{FF2B5EF4-FFF2-40B4-BE49-F238E27FC236}">
              <a16:creationId xmlns:a16="http://schemas.microsoft.com/office/drawing/2014/main" id="{2770C2B3-BFAA-3660-1C40-3BDEB2AF27E1}"/>
            </a:ext>
          </a:extLst>
        </xdr:cNvPr>
        <xdr:cNvSpPr txBox="1"/>
      </xdr:nvSpPr>
      <xdr:spPr>
        <a:xfrm>
          <a:off x="2963333" y="5435600"/>
          <a:ext cx="2904067" cy="491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1">
              <a:solidFill>
                <a:srgbClr val="FFFF00"/>
              </a:solidFill>
              <a:latin typeface="Algerian" panose="04020705040A02060702" pitchFamily="82" charset="0"/>
            </a:rPr>
            <a:t>SWAPNIL UMREDKAR</a:t>
          </a:r>
        </a:p>
      </xdr:txBody>
    </xdr:sp>
    <xdr:clientData/>
  </xdr:twoCellAnchor>
  <xdr:twoCellAnchor>
    <xdr:from>
      <xdr:col>3</xdr:col>
      <xdr:colOff>494846</xdr:colOff>
      <xdr:row>1</xdr:row>
      <xdr:rowOff>117308</xdr:rowOff>
    </xdr:from>
    <xdr:to>
      <xdr:col>11</xdr:col>
      <xdr:colOff>408470</xdr:colOff>
      <xdr:row>4</xdr:row>
      <xdr:rowOff>141284</xdr:rowOff>
    </xdr:to>
    <xdr:sp macro="" textlink="">
      <xdr:nvSpPr>
        <xdr:cNvPr id="4" name="Rectangle: Rounded Corners 3">
          <a:extLst>
            <a:ext uri="{FF2B5EF4-FFF2-40B4-BE49-F238E27FC236}">
              <a16:creationId xmlns:a16="http://schemas.microsoft.com/office/drawing/2014/main" id="{E3ACC5AF-C148-4B66-89EB-971922C73DF0}"/>
            </a:ext>
          </a:extLst>
        </xdr:cNvPr>
        <xdr:cNvSpPr/>
      </xdr:nvSpPr>
      <xdr:spPr>
        <a:xfrm>
          <a:off x="2323646" y="303575"/>
          <a:ext cx="4790424" cy="582776"/>
        </a:xfrm>
        <a:prstGeom prst="roundRect">
          <a:avLst>
            <a:gd name="adj" fmla="val 50000"/>
          </a:avLst>
        </a:prstGeom>
        <a:solidFill>
          <a:srgbClr val="48599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1">
              <a:solidFill>
                <a:schemeClr val="bg1"/>
              </a:solidFill>
              <a:latin typeface="Arial Black" panose="020B0A04020102020204" pitchFamily="34" charset="0"/>
            </a:rPr>
            <a:t> SALES DATA DASHBOARD</a:t>
          </a:r>
        </a:p>
      </xdr:txBody>
    </xdr:sp>
    <xdr:clientData/>
  </xdr:twoCellAnchor>
  <xdr:twoCellAnchor>
    <xdr:from>
      <xdr:col>4</xdr:col>
      <xdr:colOff>127000</xdr:colOff>
      <xdr:row>10</xdr:row>
      <xdr:rowOff>0</xdr:rowOff>
    </xdr:from>
    <xdr:to>
      <xdr:col>21</xdr:col>
      <xdr:colOff>76200</xdr:colOff>
      <xdr:row>23</xdr:row>
      <xdr:rowOff>118534</xdr:rowOff>
    </xdr:to>
    <xdr:sp macro="" textlink="">
      <xdr:nvSpPr>
        <xdr:cNvPr id="5" name="TextBox 4">
          <a:extLst>
            <a:ext uri="{FF2B5EF4-FFF2-40B4-BE49-F238E27FC236}">
              <a16:creationId xmlns:a16="http://schemas.microsoft.com/office/drawing/2014/main" id="{133027A7-6F45-9FC2-2D4E-21C2F869AC6E}"/>
            </a:ext>
          </a:extLst>
        </xdr:cNvPr>
        <xdr:cNvSpPr txBox="1"/>
      </xdr:nvSpPr>
      <xdr:spPr>
        <a:xfrm>
          <a:off x="2565400" y="1862667"/>
          <a:ext cx="10312400" cy="2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i="1">
              <a:solidFill>
                <a:srgbClr val="FFFF00"/>
              </a:solidFill>
              <a:latin typeface="Arial Rounded MT Bold" panose="020F0704030504030204" pitchFamily="34" charset="0"/>
            </a:rPr>
            <a:t>This dashboard analyzes sales performance from 2023 to 2025, showcasing best‑selling and underperforming products, identifying top and low‑performing salespeople, and revealing regional contributions to support strategic decision‑making.</a:t>
          </a:r>
        </a:p>
        <a:p>
          <a:endParaRPr lang="en-US" sz="1600" i="1">
            <a:solidFill>
              <a:srgbClr val="FFFF00"/>
            </a:solidFill>
            <a:latin typeface="Arial Rounded MT Bold" panose="020F0704030504030204" pitchFamily="34" charset="0"/>
          </a:endParaRPr>
        </a:p>
        <a:p>
          <a:r>
            <a:rPr lang="en-US" sz="1600" i="1">
              <a:solidFill>
                <a:srgbClr val="FFFF00"/>
              </a:solidFill>
              <a:latin typeface="Arial Rounded MT Bold" panose="020F0704030504030204" pitchFamily="34" charset="0"/>
            </a:rPr>
            <a:t>Created using Microsoft</a:t>
          </a:r>
          <a:r>
            <a:rPr lang="en-US" sz="1600" i="1" baseline="0">
              <a:solidFill>
                <a:srgbClr val="FFFF00"/>
              </a:solidFill>
              <a:latin typeface="Arial Rounded MT Bold" panose="020F0704030504030204" pitchFamily="34" charset="0"/>
            </a:rPr>
            <a:t> Excel</a:t>
          </a:r>
          <a:endParaRPr lang="en-US" sz="1600" i="1">
            <a:solidFill>
              <a:srgbClr val="FFFF00"/>
            </a:solidFill>
            <a:latin typeface="Arial Rounded MT Bold" panose="020F070403050403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ne Ali" refreshedDate="46048.616060300927" createdVersion="8" refreshedVersion="8" minRefreshableVersion="3" recordCount="1000" xr:uid="{D3F0F2B2-92A8-4B59-B8B9-A385DA4CD6C5}">
  <cacheSource type="worksheet">
    <worksheetSource ref="A1:I1001" sheet="Data"/>
  </cacheSource>
  <cacheFields count="12">
    <cacheField name="Sr. No" numFmtId="0">
      <sharedItems containsSemiMixedTypes="0" containsString="0" containsNumber="1" containsInteger="1" minValue="1" maxValue="1000"/>
    </cacheField>
    <cacheField name="Order_Id" numFmtId="0">
      <sharedItems/>
    </cacheField>
    <cacheField name="Date" numFmtId="14">
      <sharedItems containsSemiMixedTypes="0" containsNonDate="0" containsDate="1" containsString="0" minDate="2023-01-01T00:00:00" maxDate="2025-09-27T00:00:00" count="1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sharedItems>
      <fieldGroup par="11"/>
    </cacheField>
    <cacheField name="Region" numFmtId="0">
      <sharedItems count="4">
        <s v="East"/>
        <s v="West"/>
        <s v="North"/>
        <s v="South"/>
      </sharedItems>
    </cacheField>
    <cacheField name="Product" numFmtId="0">
      <sharedItems count="8">
        <s v="Laptop"/>
        <s v="Printer"/>
        <s v="Monitor"/>
        <s v="Mobile"/>
        <s v="Tablet"/>
        <s v="Smart Watch"/>
        <s v="Ear Buds"/>
        <s v=" " u="1"/>
      </sharedItems>
    </cacheField>
    <cacheField name="Salesperson" numFmtId="0">
      <sharedItems count="16">
        <s v="Riya"/>
        <s v="Kamlesh"/>
        <s v="Akash"/>
        <s v="Jayesh"/>
        <s v="Sneha"/>
        <s v="Rahul"/>
        <s v="Ronak"/>
        <s v="Vineet"/>
        <s v="Ankita"/>
        <s v="Suraj"/>
        <s v="Krishna"/>
        <s v="Ruchita"/>
        <s v="Mehul"/>
        <s v="Amit"/>
        <s v="Shubham"/>
        <s v="Namita"/>
      </sharedItems>
    </cacheField>
    <cacheField name="Quantities" numFmtId="0">
      <sharedItems containsSemiMixedTypes="0" containsString="0" containsNumber="1" containsInteger="1" minValue="1" maxValue="19"/>
    </cacheField>
    <cacheField name="Unit_Price" numFmtId="0">
      <sharedItems containsSemiMixedTypes="0" containsString="0" containsNumber="1" containsInteger="1" minValue="5112" maxValue="74906"/>
    </cacheField>
    <cacheField name="Total_Sales" numFmtId="0">
      <sharedItems containsSemiMixedTypes="0" containsString="0" containsNumber="1" containsInteger="1" minValue="5336" maxValue="1360951"/>
    </cacheField>
    <cacheField name="Months (Date)" numFmtId="0" databaseField="0">
      <fieldGroup base="2">
        <rangePr groupBy="months" startDate="2023-01-01T00:00:00" endDate="2025-09-27T00:00:00"/>
        <groupItems count="14">
          <s v="&lt;01-01-23"/>
          <s v="Jan"/>
          <s v="Feb"/>
          <s v="Mar"/>
          <s v="Apr"/>
          <s v="May"/>
          <s v="Jun"/>
          <s v="Jul"/>
          <s v="Aug"/>
          <s v="Sep"/>
          <s v="Oct"/>
          <s v="Nov"/>
          <s v="Dec"/>
          <s v="&gt;27-09-25"/>
        </groupItems>
      </fieldGroup>
    </cacheField>
    <cacheField name="Quarters (Date)" numFmtId="0" databaseField="0">
      <fieldGroup base="2">
        <rangePr groupBy="quarters" startDate="2023-01-01T00:00:00" endDate="2025-09-27T00:00:00"/>
        <groupItems count="6">
          <s v="&lt;01-01-23"/>
          <s v="Qtr1"/>
          <s v="Qtr2"/>
          <s v="Qtr3"/>
          <s v="Qtr4"/>
          <s v="&gt;27-09-25"/>
        </groupItems>
      </fieldGroup>
    </cacheField>
    <cacheField name="Years (Date)" numFmtId="0" databaseField="0">
      <fieldGroup base="2">
        <rangePr groupBy="years" startDate="2023-01-01T00:00:00" endDate="2025-09-27T00:00:00"/>
        <groupItems count="5">
          <s v="&lt;01-01-23"/>
          <s v="2023"/>
          <s v="2024"/>
          <s v="2025"/>
          <s v="&gt;27-09-25"/>
        </groupItems>
      </fieldGroup>
    </cacheField>
  </cacheFields>
  <extLst>
    <ext xmlns:x14="http://schemas.microsoft.com/office/spreadsheetml/2009/9/main" uri="{725AE2AE-9491-48be-B2B4-4EB974FC3084}">
      <x14:pivotCacheDefinition pivotCacheId="6857574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ODR_AB_01"/>
    <x v="0"/>
    <x v="0"/>
    <x v="0"/>
    <x v="0"/>
    <n v="13"/>
    <n v="68064"/>
    <n v="884832"/>
  </r>
  <r>
    <n v="2"/>
    <s v="ODR_BC_02"/>
    <x v="1"/>
    <x v="1"/>
    <x v="0"/>
    <x v="0"/>
    <n v="2"/>
    <n v="68761"/>
    <n v="137522"/>
  </r>
  <r>
    <n v="3"/>
    <s v="ODR_CD_03"/>
    <x v="2"/>
    <x v="2"/>
    <x v="0"/>
    <x v="0"/>
    <n v="17"/>
    <n v="43870"/>
    <n v="745790"/>
  </r>
  <r>
    <n v="4"/>
    <s v="ODR_BC_03"/>
    <x v="3"/>
    <x v="0"/>
    <x v="1"/>
    <x v="1"/>
    <n v="6"/>
    <n v="35873"/>
    <n v="215238"/>
  </r>
  <r>
    <n v="5"/>
    <s v="ODR_CD_04"/>
    <x v="4"/>
    <x v="0"/>
    <x v="2"/>
    <x v="2"/>
    <n v="4"/>
    <n v="63627"/>
    <n v="254508"/>
  </r>
  <r>
    <n v="6"/>
    <s v="ODR_BC_04"/>
    <x v="5"/>
    <x v="1"/>
    <x v="1"/>
    <x v="3"/>
    <n v="16"/>
    <n v="71155"/>
    <n v="1138480"/>
  </r>
  <r>
    <n v="7"/>
    <s v="ODR_CD_05"/>
    <x v="6"/>
    <x v="2"/>
    <x v="2"/>
    <x v="4"/>
    <n v="15"/>
    <n v="30372"/>
    <n v="455580"/>
  </r>
  <r>
    <n v="8"/>
    <s v="ODR_BC_05"/>
    <x v="7"/>
    <x v="2"/>
    <x v="1"/>
    <x v="3"/>
    <n v="15"/>
    <n v="8642"/>
    <n v="129630"/>
  </r>
  <r>
    <n v="9"/>
    <s v="ODR_CD_06"/>
    <x v="8"/>
    <x v="0"/>
    <x v="1"/>
    <x v="3"/>
    <n v="6"/>
    <n v="33001"/>
    <n v="198006"/>
  </r>
  <r>
    <n v="10"/>
    <s v="ODR_BC_06"/>
    <x v="9"/>
    <x v="3"/>
    <x v="3"/>
    <x v="5"/>
    <n v="15"/>
    <n v="39064"/>
    <n v="585960"/>
  </r>
  <r>
    <n v="11"/>
    <s v="ODR_CD_07"/>
    <x v="10"/>
    <x v="0"/>
    <x v="1"/>
    <x v="2"/>
    <n v="14"/>
    <n v="19122"/>
    <n v="267708"/>
  </r>
  <r>
    <n v="12"/>
    <s v="ODR_BC_07"/>
    <x v="11"/>
    <x v="0"/>
    <x v="4"/>
    <x v="5"/>
    <n v="11"/>
    <n v="29820"/>
    <n v="328020"/>
  </r>
  <r>
    <n v="13"/>
    <s v="ODR_CD_08"/>
    <x v="12"/>
    <x v="0"/>
    <x v="3"/>
    <x v="2"/>
    <n v="7"/>
    <n v="73431"/>
    <n v="514017"/>
  </r>
  <r>
    <n v="14"/>
    <s v="ODR_BC_08"/>
    <x v="13"/>
    <x v="0"/>
    <x v="1"/>
    <x v="2"/>
    <n v="9"/>
    <n v="60745"/>
    <n v="546705"/>
  </r>
  <r>
    <n v="15"/>
    <s v="ODR_CD_09"/>
    <x v="14"/>
    <x v="1"/>
    <x v="0"/>
    <x v="0"/>
    <n v="16"/>
    <n v="55081"/>
    <n v="881296"/>
  </r>
  <r>
    <n v="16"/>
    <s v="ODR_BC_09"/>
    <x v="15"/>
    <x v="2"/>
    <x v="4"/>
    <x v="1"/>
    <n v="5"/>
    <n v="13711"/>
    <n v="68555"/>
  </r>
  <r>
    <n v="17"/>
    <s v="ODR_CD_10"/>
    <x v="16"/>
    <x v="1"/>
    <x v="4"/>
    <x v="0"/>
    <n v="10"/>
    <n v="23793"/>
    <n v="237930"/>
  </r>
  <r>
    <n v="18"/>
    <s v="ODR_BC_10"/>
    <x v="17"/>
    <x v="1"/>
    <x v="4"/>
    <x v="1"/>
    <n v="18"/>
    <n v="13199"/>
    <n v="237582"/>
  </r>
  <r>
    <n v="19"/>
    <s v="ODR_CD_11"/>
    <x v="18"/>
    <x v="1"/>
    <x v="3"/>
    <x v="5"/>
    <n v="3"/>
    <n v="41191"/>
    <n v="123573"/>
  </r>
  <r>
    <n v="20"/>
    <s v="ODR_BC_11"/>
    <x v="19"/>
    <x v="0"/>
    <x v="1"/>
    <x v="1"/>
    <n v="13"/>
    <n v="15211"/>
    <n v="197743"/>
  </r>
  <r>
    <n v="21"/>
    <s v="ODR_CD_12"/>
    <x v="20"/>
    <x v="3"/>
    <x v="5"/>
    <x v="5"/>
    <n v="11"/>
    <n v="68069"/>
    <n v="748759"/>
  </r>
  <r>
    <n v="22"/>
    <s v="ODR_BC_12"/>
    <x v="21"/>
    <x v="2"/>
    <x v="0"/>
    <x v="3"/>
    <n v="17"/>
    <n v="61746"/>
    <n v="1049682"/>
  </r>
  <r>
    <n v="23"/>
    <s v="ODR_CD_13"/>
    <x v="22"/>
    <x v="3"/>
    <x v="6"/>
    <x v="3"/>
    <n v="13"/>
    <n v="26542"/>
    <n v="345046"/>
  </r>
  <r>
    <n v="24"/>
    <s v="ODR_BC_13"/>
    <x v="23"/>
    <x v="1"/>
    <x v="4"/>
    <x v="1"/>
    <n v="6"/>
    <n v="36312"/>
    <n v="217872"/>
  </r>
  <r>
    <n v="25"/>
    <s v="ODR_CD_14"/>
    <x v="24"/>
    <x v="1"/>
    <x v="0"/>
    <x v="1"/>
    <n v="17"/>
    <n v="50242"/>
    <n v="854114"/>
  </r>
  <r>
    <n v="26"/>
    <s v="ODR_BC_14"/>
    <x v="25"/>
    <x v="3"/>
    <x v="3"/>
    <x v="5"/>
    <n v="13"/>
    <n v="60388"/>
    <n v="785044"/>
  </r>
  <r>
    <n v="27"/>
    <s v="ODR_CD_15"/>
    <x v="26"/>
    <x v="3"/>
    <x v="5"/>
    <x v="0"/>
    <n v="19"/>
    <n v="32691"/>
    <n v="621129"/>
  </r>
  <r>
    <n v="28"/>
    <s v="ODR_BC_15"/>
    <x v="27"/>
    <x v="3"/>
    <x v="4"/>
    <x v="5"/>
    <n v="19"/>
    <n v="27601"/>
    <n v="524419"/>
  </r>
  <r>
    <n v="29"/>
    <s v="ODR_CD_16"/>
    <x v="28"/>
    <x v="1"/>
    <x v="0"/>
    <x v="0"/>
    <n v="10"/>
    <n v="23020"/>
    <n v="230200"/>
  </r>
  <r>
    <n v="30"/>
    <s v="ODR_BC_16"/>
    <x v="29"/>
    <x v="1"/>
    <x v="3"/>
    <x v="3"/>
    <n v="3"/>
    <n v="13155"/>
    <n v="39465"/>
  </r>
  <r>
    <n v="31"/>
    <s v="ODR_CD_17"/>
    <x v="30"/>
    <x v="2"/>
    <x v="3"/>
    <x v="2"/>
    <n v="14"/>
    <n v="74119"/>
    <n v="1037666"/>
  </r>
  <r>
    <n v="32"/>
    <s v="ODR_BC_17"/>
    <x v="31"/>
    <x v="2"/>
    <x v="6"/>
    <x v="1"/>
    <n v="19"/>
    <n v="41777"/>
    <n v="793763"/>
  </r>
  <r>
    <n v="33"/>
    <s v="ODR_CD_18"/>
    <x v="32"/>
    <x v="1"/>
    <x v="5"/>
    <x v="0"/>
    <n v="5"/>
    <n v="24710"/>
    <n v="123550"/>
  </r>
  <r>
    <n v="34"/>
    <s v="ODR_BC_18"/>
    <x v="33"/>
    <x v="3"/>
    <x v="6"/>
    <x v="5"/>
    <n v="5"/>
    <n v="29532"/>
    <n v="147660"/>
  </r>
  <r>
    <n v="35"/>
    <s v="ODR_CD_19"/>
    <x v="34"/>
    <x v="3"/>
    <x v="4"/>
    <x v="3"/>
    <n v="17"/>
    <n v="23601"/>
    <n v="401217"/>
  </r>
  <r>
    <n v="36"/>
    <s v="ODR_BC_19"/>
    <x v="35"/>
    <x v="2"/>
    <x v="6"/>
    <x v="0"/>
    <n v="10"/>
    <n v="68227"/>
    <n v="682270"/>
  </r>
  <r>
    <n v="37"/>
    <s v="ODR_CD_20"/>
    <x v="36"/>
    <x v="1"/>
    <x v="3"/>
    <x v="5"/>
    <n v="5"/>
    <n v="9967"/>
    <n v="49835"/>
  </r>
  <r>
    <n v="38"/>
    <s v="ODR_BC_20"/>
    <x v="37"/>
    <x v="2"/>
    <x v="6"/>
    <x v="1"/>
    <n v="4"/>
    <n v="25022"/>
    <n v="100088"/>
  </r>
  <r>
    <n v="39"/>
    <s v="ODR_CD_21"/>
    <x v="38"/>
    <x v="2"/>
    <x v="5"/>
    <x v="1"/>
    <n v="6"/>
    <n v="48463"/>
    <n v="290778"/>
  </r>
  <r>
    <n v="40"/>
    <s v="ODR_BC_21"/>
    <x v="39"/>
    <x v="0"/>
    <x v="2"/>
    <x v="4"/>
    <n v="4"/>
    <n v="10722"/>
    <n v="42888"/>
  </r>
  <r>
    <n v="41"/>
    <s v="ODR_CD_22"/>
    <x v="40"/>
    <x v="0"/>
    <x v="6"/>
    <x v="2"/>
    <n v="7"/>
    <n v="32413"/>
    <n v="226891"/>
  </r>
  <r>
    <n v="42"/>
    <s v="ODR_BC_22"/>
    <x v="41"/>
    <x v="0"/>
    <x v="5"/>
    <x v="4"/>
    <n v="7"/>
    <n v="71732"/>
    <n v="502124"/>
  </r>
  <r>
    <n v="43"/>
    <s v="ODR_CD_23"/>
    <x v="42"/>
    <x v="3"/>
    <x v="5"/>
    <x v="3"/>
    <n v="18"/>
    <n v="17297"/>
    <n v="311346"/>
  </r>
  <r>
    <n v="44"/>
    <s v="ODR_BC_23"/>
    <x v="43"/>
    <x v="1"/>
    <x v="3"/>
    <x v="0"/>
    <n v="3"/>
    <n v="73323"/>
    <n v="219969"/>
  </r>
  <r>
    <n v="45"/>
    <s v="ODR_CD_24"/>
    <x v="44"/>
    <x v="1"/>
    <x v="5"/>
    <x v="3"/>
    <n v="1"/>
    <n v="28816"/>
    <n v="28816"/>
  </r>
  <r>
    <n v="46"/>
    <s v="ODR_BC_24"/>
    <x v="45"/>
    <x v="1"/>
    <x v="5"/>
    <x v="5"/>
    <n v="4"/>
    <n v="45695"/>
    <n v="182780"/>
  </r>
  <r>
    <n v="47"/>
    <s v="ODR_CD_25"/>
    <x v="46"/>
    <x v="1"/>
    <x v="5"/>
    <x v="1"/>
    <n v="6"/>
    <n v="24702"/>
    <n v="148212"/>
  </r>
  <r>
    <n v="48"/>
    <s v="ODR_BC_25"/>
    <x v="47"/>
    <x v="0"/>
    <x v="5"/>
    <x v="4"/>
    <n v="9"/>
    <n v="30242"/>
    <n v="272178"/>
  </r>
  <r>
    <n v="49"/>
    <s v="ODR_CD_26"/>
    <x v="48"/>
    <x v="3"/>
    <x v="4"/>
    <x v="4"/>
    <n v="14"/>
    <n v="60841"/>
    <n v="851774"/>
  </r>
  <r>
    <n v="50"/>
    <s v="ODR_BC_26"/>
    <x v="49"/>
    <x v="3"/>
    <x v="4"/>
    <x v="4"/>
    <n v="12"/>
    <n v="72712"/>
    <n v="872544"/>
  </r>
  <r>
    <n v="51"/>
    <s v="ODR_CD_27"/>
    <x v="50"/>
    <x v="0"/>
    <x v="3"/>
    <x v="3"/>
    <n v="4"/>
    <n v="58574"/>
    <n v="234296"/>
  </r>
  <r>
    <n v="52"/>
    <s v="ODR_BC_27"/>
    <x v="51"/>
    <x v="3"/>
    <x v="6"/>
    <x v="1"/>
    <n v="12"/>
    <n v="33482"/>
    <n v="401784"/>
  </r>
  <r>
    <n v="53"/>
    <s v="ODR_CD_28"/>
    <x v="52"/>
    <x v="0"/>
    <x v="5"/>
    <x v="0"/>
    <n v="10"/>
    <n v="14171"/>
    <n v="141710"/>
  </r>
  <r>
    <n v="54"/>
    <s v="ODR_BC_28"/>
    <x v="53"/>
    <x v="1"/>
    <x v="0"/>
    <x v="5"/>
    <n v="7"/>
    <n v="8696"/>
    <n v="60872"/>
  </r>
  <r>
    <n v="55"/>
    <s v="ODR_CD_29"/>
    <x v="54"/>
    <x v="0"/>
    <x v="0"/>
    <x v="0"/>
    <n v="3"/>
    <n v="25058"/>
    <n v="75174"/>
  </r>
  <r>
    <n v="56"/>
    <s v="ODR_BC_29"/>
    <x v="55"/>
    <x v="1"/>
    <x v="3"/>
    <x v="3"/>
    <n v="14"/>
    <n v="25313"/>
    <n v="354382"/>
  </r>
  <r>
    <n v="57"/>
    <s v="ODR_CD_30"/>
    <x v="56"/>
    <x v="1"/>
    <x v="5"/>
    <x v="5"/>
    <n v="10"/>
    <n v="24149"/>
    <n v="241490"/>
  </r>
  <r>
    <n v="58"/>
    <s v="ODR_BC_30"/>
    <x v="57"/>
    <x v="2"/>
    <x v="5"/>
    <x v="4"/>
    <n v="16"/>
    <n v="58521"/>
    <n v="936336"/>
  </r>
  <r>
    <n v="59"/>
    <s v="ODR_CD_31"/>
    <x v="58"/>
    <x v="0"/>
    <x v="2"/>
    <x v="2"/>
    <n v="16"/>
    <n v="50740"/>
    <n v="811840"/>
  </r>
  <r>
    <n v="60"/>
    <s v="ODR_BC_31"/>
    <x v="59"/>
    <x v="2"/>
    <x v="0"/>
    <x v="3"/>
    <n v="10"/>
    <n v="9956"/>
    <n v="99560"/>
  </r>
  <r>
    <n v="61"/>
    <s v="ODR_CD_32"/>
    <x v="60"/>
    <x v="0"/>
    <x v="0"/>
    <x v="3"/>
    <n v="13"/>
    <n v="71641"/>
    <n v="931333"/>
  </r>
  <r>
    <n v="62"/>
    <s v="ODR_BC_32"/>
    <x v="61"/>
    <x v="0"/>
    <x v="4"/>
    <x v="1"/>
    <n v="6"/>
    <n v="68811"/>
    <n v="412866"/>
  </r>
  <r>
    <n v="63"/>
    <s v="ODR_CD_33"/>
    <x v="62"/>
    <x v="2"/>
    <x v="2"/>
    <x v="0"/>
    <n v="12"/>
    <n v="57160"/>
    <n v="685920"/>
  </r>
  <r>
    <n v="64"/>
    <s v="ODR_BC_33"/>
    <x v="63"/>
    <x v="2"/>
    <x v="4"/>
    <x v="3"/>
    <n v="9"/>
    <n v="56313"/>
    <n v="506817"/>
  </r>
  <r>
    <n v="65"/>
    <s v="ODR_CD_34"/>
    <x v="64"/>
    <x v="0"/>
    <x v="4"/>
    <x v="3"/>
    <n v="13"/>
    <n v="68232"/>
    <n v="887016"/>
  </r>
  <r>
    <n v="66"/>
    <s v="ODR_BC_34"/>
    <x v="65"/>
    <x v="3"/>
    <x v="4"/>
    <x v="4"/>
    <n v="4"/>
    <n v="20417"/>
    <n v="81668"/>
  </r>
  <r>
    <n v="67"/>
    <s v="ODR_CD_35"/>
    <x v="66"/>
    <x v="1"/>
    <x v="3"/>
    <x v="4"/>
    <n v="11"/>
    <n v="29729"/>
    <n v="327019"/>
  </r>
  <r>
    <n v="68"/>
    <s v="ODR_BC_35"/>
    <x v="67"/>
    <x v="2"/>
    <x v="3"/>
    <x v="5"/>
    <n v="18"/>
    <n v="35099"/>
    <n v="631782"/>
  </r>
  <r>
    <n v="69"/>
    <s v="ODR_CD_36"/>
    <x v="68"/>
    <x v="1"/>
    <x v="5"/>
    <x v="2"/>
    <n v="11"/>
    <n v="34961"/>
    <n v="384571"/>
  </r>
  <r>
    <n v="70"/>
    <s v="ODR_BC_36"/>
    <x v="69"/>
    <x v="3"/>
    <x v="2"/>
    <x v="1"/>
    <n v="4"/>
    <n v="17602"/>
    <n v="70408"/>
  </r>
  <r>
    <n v="71"/>
    <s v="ODR_CD_37"/>
    <x v="70"/>
    <x v="3"/>
    <x v="0"/>
    <x v="2"/>
    <n v="18"/>
    <n v="14256"/>
    <n v="256608"/>
  </r>
  <r>
    <n v="72"/>
    <s v="ODR_BC_37"/>
    <x v="71"/>
    <x v="3"/>
    <x v="2"/>
    <x v="5"/>
    <n v="1"/>
    <n v="39681"/>
    <n v="39681"/>
  </r>
  <r>
    <n v="73"/>
    <s v="ODR_CD_38"/>
    <x v="72"/>
    <x v="2"/>
    <x v="5"/>
    <x v="4"/>
    <n v="7"/>
    <n v="69789"/>
    <n v="488523"/>
  </r>
  <r>
    <n v="74"/>
    <s v="ODR_BC_38"/>
    <x v="73"/>
    <x v="3"/>
    <x v="3"/>
    <x v="0"/>
    <n v="6"/>
    <n v="48361"/>
    <n v="290166"/>
  </r>
  <r>
    <n v="75"/>
    <s v="ODR_CD_39"/>
    <x v="74"/>
    <x v="2"/>
    <x v="0"/>
    <x v="4"/>
    <n v="15"/>
    <n v="69503"/>
    <n v="1042545"/>
  </r>
  <r>
    <n v="76"/>
    <s v="ODR_BC_39"/>
    <x v="75"/>
    <x v="3"/>
    <x v="0"/>
    <x v="1"/>
    <n v="18"/>
    <n v="39540"/>
    <n v="711720"/>
  </r>
  <r>
    <n v="77"/>
    <s v="ODR_CD_40"/>
    <x v="76"/>
    <x v="1"/>
    <x v="5"/>
    <x v="4"/>
    <n v="11"/>
    <n v="31536"/>
    <n v="346896"/>
  </r>
  <r>
    <n v="78"/>
    <s v="ODR_BC_40"/>
    <x v="77"/>
    <x v="1"/>
    <x v="1"/>
    <x v="1"/>
    <n v="15"/>
    <n v="68043"/>
    <n v="1020645"/>
  </r>
  <r>
    <n v="79"/>
    <s v="ODR_CD_41"/>
    <x v="78"/>
    <x v="0"/>
    <x v="4"/>
    <x v="1"/>
    <n v="16"/>
    <n v="61575"/>
    <n v="985200"/>
  </r>
  <r>
    <n v="80"/>
    <s v="ODR_BC_41"/>
    <x v="79"/>
    <x v="1"/>
    <x v="6"/>
    <x v="1"/>
    <n v="7"/>
    <n v="7871"/>
    <n v="55097"/>
  </r>
  <r>
    <n v="81"/>
    <s v="ODR_CD_42"/>
    <x v="80"/>
    <x v="0"/>
    <x v="6"/>
    <x v="5"/>
    <n v="10"/>
    <n v="51002"/>
    <n v="510020"/>
  </r>
  <r>
    <n v="82"/>
    <s v="ODR_BC_42"/>
    <x v="81"/>
    <x v="1"/>
    <x v="2"/>
    <x v="1"/>
    <n v="12"/>
    <n v="54812"/>
    <n v="657744"/>
  </r>
  <r>
    <n v="83"/>
    <s v="ODR_CD_43"/>
    <x v="82"/>
    <x v="2"/>
    <x v="4"/>
    <x v="1"/>
    <n v="14"/>
    <n v="27626"/>
    <n v="386764"/>
  </r>
  <r>
    <n v="84"/>
    <s v="ODR_BC_43"/>
    <x v="83"/>
    <x v="1"/>
    <x v="4"/>
    <x v="0"/>
    <n v="5"/>
    <n v="64979"/>
    <n v="324895"/>
  </r>
  <r>
    <n v="85"/>
    <s v="ODR_CD_44"/>
    <x v="84"/>
    <x v="0"/>
    <x v="4"/>
    <x v="2"/>
    <n v="18"/>
    <n v="71668"/>
    <n v="1290024"/>
  </r>
  <r>
    <n v="86"/>
    <s v="ODR_BC_44"/>
    <x v="85"/>
    <x v="0"/>
    <x v="4"/>
    <x v="3"/>
    <n v="5"/>
    <n v="47998"/>
    <n v="239990"/>
  </r>
  <r>
    <n v="87"/>
    <s v="ODR_CD_45"/>
    <x v="86"/>
    <x v="3"/>
    <x v="6"/>
    <x v="2"/>
    <n v="3"/>
    <n v="68814"/>
    <n v="206442"/>
  </r>
  <r>
    <n v="88"/>
    <s v="ODR_BC_45"/>
    <x v="87"/>
    <x v="2"/>
    <x v="6"/>
    <x v="1"/>
    <n v="5"/>
    <n v="50607"/>
    <n v="253035"/>
  </r>
  <r>
    <n v="89"/>
    <s v="ODR_CD_46"/>
    <x v="88"/>
    <x v="1"/>
    <x v="4"/>
    <x v="0"/>
    <n v="17"/>
    <n v="12812"/>
    <n v="217804"/>
  </r>
  <r>
    <n v="90"/>
    <s v="ODR_BC_46"/>
    <x v="89"/>
    <x v="3"/>
    <x v="2"/>
    <x v="4"/>
    <n v="19"/>
    <n v="66844"/>
    <n v="1270036"/>
  </r>
  <r>
    <n v="91"/>
    <s v="ODR_CD_47"/>
    <x v="90"/>
    <x v="1"/>
    <x v="6"/>
    <x v="0"/>
    <n v="19"/>
    <n v="7179"/>
    <n v="136401"/>
  </r>
  <r>
    <n v="92"/>
    <s v="ODR_BC_47"/>
    <x v="91"/>
    <x v="1"/>
    <x v="6"/>
    <x v="1"/>
    <n v="12"/>
    <n v="48798"/>
    <n v="585576"/>
  </r>
  <r>
    <n v="93"/>
    <s v="ODR_CD_48"/>
    <x v="92"/>
    <x v="3"/>
    <x v="2"/>
    <x v="0"/>
    <n v="9"/>
    <n v="13275"/>
    <n v="119475"/>
  </r>
  <r>
    <n v="94"/>
    <s v="ODR_BC_48"/>
    <x v="93"/>
    <x v="3"/>
    <x v="4"/>
    <x v="0"/>
    <n v="1"/>
    <n v="55574"/>
    <n v="55574"/>
  </r>
  <r>
    <n v="95"/>
    <s v="ODR_CD_49"/>
    <x v="94"/>
    <x v="3"/>
    <x v="6"/>
    <x v="1"/>
    <n v="18"/>
    <n v="52857"/>
    <n v="951426"/>
  </r>
  <r>
    <n v="96"/>
    <s v="ODR_BC_49"/>
    <x v="95"/>
    <x v="3"/>
    <x v="6"/>
    <x v="5"/>
    <n v="4"/>
    <n v="25700"/>
    <n v="102800"/>
  </r>
  <r>
    <n v="97"/>
    <s v="ODR_CD_50"/>
    <x v="96"/>
    <x v="3"/>
    <x v="1"/>
    <x v="0"/>
    <n v="10"/>
    <n v="44464"/>
    <n v="444640"/>
  </r>
  <r>
    <n v="98"/>
    <s v="ODR_BC_50"/>
    <x v="97"/>
    <x v="1"/>
    <x v="1"/>
    <x v="3"/>
    <n v="7"/>
    <n v="47351"/>
    <n v="331457"/>
  </r>
  <r>
    <n v="99"/>
    <s v="ODR_CD_51"/>
    <x v="98"/>
    <x v="3"/>
    <x v="2"/>
    <x v="3"/>
    <n v="1"/>
    <n v="18869"/>
    <n v="18869"/>
  </r>
  <r>
    <n v="100"/>
    <s v="ODR_BC_51"/>
    <x v="99"/>
    <x v="2"/>
    <x v="4"/>
    <x v="0"/>
    <n v="17"/>
    <n v="65315"/>
    <n v="1110355"/>
  </r>
  <r>
    <n v="101"/>
    <s v="ODR_CD_52"/>
    <x v="100"/>
    <x v="0"/>
    <x v="6"/>
    <x v="5"/>
    <n v="2"/>
    <n v="25954"/>
    <n v="51908"/>
  </r>
  <r>
    <n v="102"/>
    <s v="ODR_BC_52"/>
    <x v="101"/>
    <x v="3"/>
    <x v="4"/>
    <x v="4"/>
    <n v="11"/>
    <n v="36555"/>
    <n v="402105"/>
  </r>
  <r>
    <n v="103"/>
    <s v="ODR_CD_53"/>
    <x v="102"/>
    <x v="3"/>
    <x v="6"/>
    <x v="1"/>
    <n v="9"/>
    <n v="68353"/>
    <n v="615177"/>
  </r>
  <r>
    <n v="104"/>
    <s v="ODR_BC_53"/>
    <x v="103"/>
    <x v="1"/>
    <x v="6"/>
    <x v="3"/>
    <n v="7"/>
    <n v="50026"/>
    <n v="350182"/>
  </r>
  <r>
    <n v="105"/>
    <s v="ODR_CD_54"/>
    <x v="104"/>
    <x v="3"/>
    <x v="2"/>
    <x v="4"/>
    <n v="17"/>
    <n v="51976"/>
    <n v="883592"/>
  </r>
  <r>
    <n v="106"/>
    <s v="ODR_BC_54"/>
    <x v="105"/>
    <x v="3"/>
    <x v="1"/>
    <x v="0"/>
    <n v="17"/>
    <n v="50095"/>
    <n v="851615"/>
  </r>
  <r>
    <n v="107"/>
    <s v="ODR_CD_55"/>
    <x v="106"/>
    <x v="3"/>
    <x v="4"/>
    <x v="4"/>
    <n v="2"/>
    <n v="19270"/>
    <n v="38540"/>
  </r>
  <r>
    <n v="108"/>
    <s v="ODR_BC_55"/>
    <x v="107"/>
    <x v="1"/>
    <x v="1"/>
    <x v="2"/>
    <n v="6"/>
    <n v="35908"/>
    <n v="215448"/>
  </r>
  <r>
    <n v="109"/>
    <s v="ODR_CD_56"/>
    <x v="108"/>
    <x v="3"/>
    <x v="4"/>
    <x v="3"/>
    <n v="14"/>
    <n v="20523"/>
    <n v="287322"/>
  </r>
  <r>
    <n v="110"/>
    <s v="ODR_BC_56"/>
    <x v="109"/>
    <x v="0"/>
    <x v="1"/>
    <x v="0"/>
    <n v="6"/>
    <n v="67433"/>
    <n v="404598"/>
  </r>
  <r>
    <n v="111"/>
    <s v="ODR_CD_57"/>
    <x v="110"/>
    <x v="1"/>
    <x v="6"/>
    <x v="1"/>
    <n v="2"/>
    <n v="52068"/>
    <n v="104136"/>
  </r>
  <r>
    <n v="112"/>
    <s v="ODR_BC_57"/>
    <x v="111"/>
    <x v="0"/>
    <x v="6"/>
    <x v="5"/>
    <n v="1"/>
    <n v="24991"/>
    <n v="24991"/>
  </r>
  <r>
    <n v="113"/>
    <s v="ODR_CD_58"/>
    <x v="112"/>
    <x v="1"/>
    <x v="6"/>
    <x v="0"/>
    <n v="10"/>
    <n v="15775"/>
    <n v="157750"/>
  </r>
  <r>
    <n v="114"/>
    <s v="ODR_BC_58"/>
    <x v="113"/>
    <x v="3"/>
    <x v="6"/>
    <x v="1"/>
    <n v="5"/>
    <n v="66250"/>
    <n v="331250"/>
  </r>
  <r>
    <n v="115"/>
    <s v="ODR_CD_59"/>
    <x v="114"/>
    <x v="0"/>
    <x v="6"/>
    <x v="5"/>
    <n v="2"/>
    <n v="21673"/>
    <n v="43346"/>
  </r>
  <r>
    <n v="116"/>
    <s v="ODR_BC_59"/>
    <x v="115"/>
    <x v="1"/>
    <x v="6"/>
    <x v="5"/>
    <n v="16"/>
    <n v="32056"/>
    <n v="512896"/>
  </r>
  <r>
    <n v="117"/>
    <s v="ODR_CD_60"/>
    <x v="116"/>
    <x v="2"/>
    <x v="2"/>
    <x v="0"/>
    <n v="2"/>
    <n v="11614"/>
    <n v="23228"/>
  </r>
  <r>
    <n v="118"/>
    <s v="ODR_BC_60"/>
    <x v="117"/>
    <x v="3"/>
    <x v="6"/>
    <x v="4"/>
    <n v="10"/>
    <n v="12415"/>
    <n v="124150"/>
  </r>
  <r>
    <n v="119"/>
    <s v="ODR_CD_61"/>
    <x v="118"/>
    <x v="1"/>
    <x v="6"/>
    <x v="4"/>
    <n v="2"/>
    <n v="48884"/>
    <n v="97768"/>
  </r>
  <r>
    <n v="120"/>
    <s v="ODR_BC_61"/>
    <x v="119"/>
    <x v="2"/>
    <x v="6"/>
    <x v="5"/>
    <n v="16"/>
    <n v="21964"/>
    <n v="351424"/>
  </r>
  <r>
    <n v="121"/>
    <s v="ODR_CD_62"/>
    <x v="120"/>
    <x v="1"/>
    <x v="3"/>
    <x v="4"/>
    <n v="16"/>
    <n v="42726"/>
    <n v="683616"/>
  </r>
  <r>
    <n v="122"/>
    <s v="ODR_BC_62"/>
    <x v="121"/>
    <x v="2"/>
    <x v="3"/>
    <x v="2"/>
    <n v="19"/>
    <n v="42044"/>
    <n v="798836"/>
  </r>
  <r>
    <n v="123"/>
    <s v="ODR_CD_63"/>
    <x v="122"/>
    <x v="3"/>
    <x v="1"/>
    <x v="5"/>
    <n v="7"/>
    <n v="62149"/>
    <n v="435043"/>
  </r>
  <r>
    <n v="124"/>
    <s v="ODR_BC_63"/>
    <x v="123"/>
    <x v="0"/>
    <x v="4"/>
    <x v="5"/>
    <n v="12"/>
    <n v="42544"/>
    <n v="510528"/>
  </r>
  <r>
    <n v="125"/>
    <s v="ODR_CD_64"/>
    <x v="124"/>
    <x v="2"/>
    <x v="1"/>
    <x v="1"/>
    <n v="15"/>
    <n v="54976"/>
    <n v="824640"/>
  </r>
  <r>
    <n v="126"/>
    <s v="ODR_BC_64"/>
    <x v="125"/>
    <x v="1"/>
    <x v="5"/>
    <x v="4"/>
    <n v="8"/>
    <n v="37252"/>
    <n v="298016"/>
  </r>
  <r>
    <n v="127"/>
    <s v="ODR_CD_65"/>
    <x v="126"/>
    <x v="3"/>
    <x v="3"/>
    <x v="5"/>
    <n v="6"/>
    <n v="8832"/>
    <n v="52992"/>
  </r>
  <r>
    <n v="128"/>
    <s v="ODR_BC_65"/>
    <x v="127"/>
    <x v="2"/>
    <x v="3"/>
    <x v="2"/>
    <n v="10"/>
    <n v="39148"/>
    <n v="391480"/>
  </r>
  <r>
    <n v="129"/>
    <s v="ODR_CD_66"/>
    <x v="128"/>
    <x v="1"/>
    <x v="1"/>
    <x v="1"/>
    <n v="3"/>
    <n v="66240"/>
    <n v="198720"/>
  </r>
  <r>
    <n v="130"/>
    <s v="ODR_BC_66"/>
    <x v="129"/>
    <x v="1"/>
    <x v="1"/>
    <x v="0"/>
    <n v="19"/>
    <n v="58459"/>
    <n v="1110721"/>
  </r>
  <r>
    <n v="131"/>
    <s v="ODR_CD_67"/>
    <x v="130"/>
    <x v="1"/>
    <x v="5"/>
    <x v="5"/>
    <n v="17"/>
    <n v="43402"/>
    <n v="737834"/>
  </r>
  <r>
    <n v="132"/>
    <s v="ODR_BC_67"/>
    <x v="131"/>
    <x v="2"/>
    <x v="6"/>
    <x v="2"/>
    <n v="7"/>
    <n v="62727"/>
    <n v="439089"/>
  </r>
  <r>
    <n v="133"/>
    <s v="ODR_CD_68"/>
    <x v="132"/>
    <x v="2"/>
    <x v="5"/>
    <x v="3"/>
    <n v="4"/>
    <n v="43578"/>
    <n v="174312"/>
  </r>
  <r>
    <n v="134"/>
    <s v="ODR_BC_68"/>
    <x v="133"/>
    <x v="2"/>
    <x v="1"/>
    <x v="2"/>
    <n v="14"/>
    <n v="27318"/>
    <n v="382452"/>
  </r>
  <r>
    <n v="135"/>
    <s v="ODR_CD_69"/>
    <x v="134"/>
    <x v="0"/>
    <x v="1"/>
    <x v="2"/>
    <n v="15"/>
    <n v="25466"/>
    <n v="381990"/>
  </r>
  <r>
    <n v="136"/>
    <s v="ODR_BC_69"/>
    <x v="135"/>
    <x v="2"/>
    <x v="6"/>
    <x v="1"/>
    <n v="8"/>
    <n v="50475"/>
    <n v="403800"/>
  </r>
  <r>
    <n v="137"/>
    <s v="ODR_CD_70"/>
    <x v="136"/>
    <x v="2"/>
    <x v="1"/>
    <x v="0"/>
    <n v="15"/>
    <n v="65142"/>
    <n v="977130"/>
  </r>
  <r>
    <n v="138"/>
    <s v="ODR_BC_70"/>
    <x v="137"/>
    <x v="2"/>
    <x v="6"/>
    <x v="3"/>
    <n v="14"/>
    <n v="31564"/>
    <n v="441896"/>
  </r>
  <r>
    <n v="139"/>
    <s v="ODR_CD_71"/>
    <x v="138"/>
    <x v="0"/>
    <x v="6"/>
    <x v="4"/>
    <n v="9"/>
    <n v="27412"/>
    <n v="246708"/>
  </r>
  <r>
    <n v="140"/>
    <s v="ODR_BC_71"/>
    <x v="139"/>
    <x v="2"/>
    <x v="5"/>
    <x v="4"/>
    <n v="8"/>
    <n v="56001"/>
    <n v="448008"/>
  </r>
  <r>
    <n v="141"/>
    <s v="ODR_CD_72"/>
    <x v="140"/>
    <x v="1"/>
    <x v="5"/>
    <x v="2"/>
    <n v="17"/>
    <n v="62649"/>
    <n v="1065033"/>
  </r>
  <r>
    <n v="142"/>
    <s v="ODR_BC_72"/>
    <x v="141"/>
    <x v="2"/>
    <x v="6"/>
    <x v="1"/>
    <n v="2"/>
    <n v="65957"/>
    <n v="131914"/>
  </r>
  <r>
    <n v="143"/>
    <s v="ODR_CD_73"/>
    <x v="142"/>
    <x v="1"/>
    <x v="5"/>
    <x v="1"/>
    <n v="3"/>
    <n v="40517"/>
    <n v="121551"/>
  </r>
  <r>
    <n v="144"/>
    <s v="ODR_BC_73"/>
    <x v="143"/>
    <x v="1"/>
    <x v="1"/>
    <x v="4"/>
    <n v="8"/>
    <n v="18156"/>
    <n v="145248"/>
  </r>
  <r>
    <n v="145"/>
    <s v="ODR_CD_74"/>
    <x v="144"/>
    <x v="1"/>
    <x v="3"/>
    <x v="3"/>
    <n v="12"/>
    <n v="28064"/>
    <n v="336768"/>
  </r>
  <r>
    <n v="146"/>
    <s v="ODR_BC_74"/>
    <x v="145"/>
    <x v="0"/>
    <x v="6"/>
    <x v="0"/>
    <n v="1"/>
    <n v="30711"/>
    <n v="30711"/>
  </r>
  <r>
    <n v="147"/>
    <s v="ODR_CD_75"/>
    <x v="146"/>
    <x v="0"/>
    <x v="5"/>
    <x v="3"/>
    <n v="10"/>
    <n v="35106"/>
    <n v="351060"/>
  </r>
  <r>
    <n v="148"/>
    <s v="ODR_BC_75"/>
    <x v="147"/>
    <x v="0"/>
    <x v="6"/>
    <x v="5"/>
    <n v="3"/>
    <n v="70458"/>
    <n v="211374"/>
  </r>
  <r>
    <n v="149"/>
    <s v="ODR_CD_76"/>
    <x v="148"/>
    <x v="2"/>
    <x v="6"/>
    <x v="5"/>
    <n v="6"/>
    <n v="21589"/>
    <n v="129534"/>
  </r>
  <r>
    <n v="150"/>
    <s v="ODR_BC_76"/>
    <x v="149"/>
    <x v="1"/>
    <x v="3"/>
    <x v="0"/>
    <n v="7"/>
    <n v="12214"/>
    <n v="85498"/>
  </r>
  <r>
    <n v="151"/>
    <s v="ODR_CD_77"/>
    <x v="150"/>
    <x v="0"/>
    <x v="1"/>
    <x v="4"/>
    <n v="18"/>
    <n v="32127"/>
    <n v="578286"/>
  </r>
  <r>
    <n v="152"/>
    <s v="ODR_BC_77"/>
    <x v="151"/>
    <x v="0"/>
    <x v="6"/>
    <x v="0"/>
    <n v="11"/>
    <n v="10141"/>
    <n v="111551"/>
  </r>
  <r>
    <n v="153"/>
    <s v="ODR_CD_78"/>
    <x v="152"/>
    <x v="2"/>
    <x v="5"/>
    <x v="1"/>
    <n v="19"/>
    <n v="33884"/>
    <n v="643796"/>
  </r>
  <r>
    <n v="154"/>
    <s v="ODR_BC_78"/>
    <x v="153"/>
    <x v="0"/>
    <x v="6"/>
    <x v="5"/>
    <n v="5"/>
    <n v="7708"/>
    <n v="38540"/>
  </r>
  <r>
    <n v="155"/>
    <s v="ODR_CD_79"/>
    <x v="154"/>
    <x v="2"/>
    <x v="6"/>
    <x v="2"/>
    <n v="19"/>
    <n v="23375"/>
    <n v="444125"/>
  </r>
  <r>
    <n v="156"/>
    <s v="ODR_BC_79"/>
    <x v="155"/>
    <x v="3"/>
    <x v="6"/>
    <x v="2"/>
    <n v="11"/>
    <n v="20088"/>
    <n v="220968"/>
  </r>
  <r>
    <n v="157"/>
    <s v="ODR_CD_80"/>
    <x v="156"/>
    <x v="0"/>
    <x v="0"/>
    <x v="4"/>
    <n v="12"/>
    <n v="62615"/>
    <n v="751380"/>
  </r>
  <r>
    <n v="158"/>
    <s v="ODR_BC_80"/>
    <x v="157"/>
    <x v="3"/>
    <x v="1"/>
    <x v="1"/>
    <n v="10"/>
    <n v="50046"/>
    <n v="500460"/>
  </r>
  <r>
    <n v="159"/>
    <s v="ODR_CD_81"/>
    <x v="158"/>
    <x v="2"/>
    <x v="6"/>
    <x v="3"/>
    <n v="8"/>
    <n v="15014"/>
    <n v="120112"/>
  </r>
  <r>
    <n v="160"/>
    <s v="ODR_BC_81"/>
    <x v="159"/>
    <x v="1"/>
    <x v="5"/>
    <x v="1"/>
    <n v="9"/>
    <n v="69425"/>
    <n v="624825"/>
  </r>
  <r>
    <n v="161"/>
    <s v="ODR_CD_82"/>
    <x v="160"/>
    <x v="0"/>
    <x v="6"/>
    <x v="2"/>
    <n v="4"/>
    <n v="8273"/>
    <n v="33092"/>
  </r>
  <r>
    <n v="162"/>
    <s v="ODR_BC_82"/>
    <x v="161"/>
    <x v="2"/>
    <x v="5"/>
    <x v="2"/>
    <n v="5"/>
    <n v="52135"/>
    <n v="260675"/>
  </r>
  <r>
    <n v="163"/>
    <s v="ODR_CD_83"/>
    <x v="162"/>
    <x v="1"/>
    <x v="1"/>
    <x v="5"/>
    <n v="8"/>
    <n v="35881"/>
    <n v="287048"/>
  </r>
  <r>
    <n v="164"/>
    <s v="ODR_BC_83"/>
    <x v="163"/>
    <x v="1"/>
    <x v="5"/>
    <x v="1"/>
    <n v="9"/>
    <n v="13712"/>
    <n v="123408"/>
  </r>
  <r>
    <n v="165"/>
    <s v="ODR_CD_84"/>
    <x v="164"/>
    <x v="3"/>
    <x v="3"/>
    <x v="1"/>
    <n v="15"/>
    <n v="57874"/>
    <n v="868110"/>
  </r>
  <r>
    <n v="166"/>
    <s v="ODR_BC_84"/>
    <x v="165"/>
    <x v="2"/>
    <x v="3"/>
    <x v="2"/>
    <n v="15"/>
    <n v="74087"/>
    <n v="1111305"/>
  </r>
  <r>
    <n v="167"/>
    <s v="ODR_CD_85"/>
    <x v="166"/>
    <x v="1"/>
    <x v="3"/>
    <x v="3"/>
    <n v="16"/>
    <n v="17297"/>
    <n v="276752"/>
  </r>
  <r>
    <n v="168"/>
    <s v="ODR_BC_85"/>
    <x v="167"/>
    <x v="0"/>
    <x v="3"/>
    <x v="4"/>
    <n v="14"/>
    <n v="32128"/>
    <n v="449792"/>
  </r>
  <r>
    <n v="169"/>
    <s v="ODR_CD_86"/>
    <x v="168"/>
    <x v="0"/>
    <x v="6"/>
    <x v="4"/>
    <n v="8"/>
    <n v="73368"/>
    <n v="586944"/>
  </r>
  <r>
    <n v="170"/>
    <s v="ODR_BC_86"/>
    <x v="169"/>
    <x v="3"/>
    <x v="1"/>
    <x v="1"/>
    <n v="18"/>
    <n v="37920"/>
    <n v="682560"/>
  </r>
  <r>
    <n v="171"/>
    <s v="ODR_CD_87"/>
    <x v="170"/>
    <x v="1"/>
    <x v="5"/>
    <x v="4"/>
    <n v="10"/>
    <n v="16156"/>
    <n v="161560"/>
  </r>
  <r>
    <n v="172"/>
    <s v="ODR_BC_87"/>
    <x v="171"/>
    <x v="2"/>
    <x v="5"/>
    <x v="2"/>
    <n v="6"/>
    <n v="16108"/>
    <n v="96648"/>
  </r>
  <r>
    <n v="173"/>
    <s v="ODR_CD_88"/>
    <x v="172"/>
    <x v="0"/>
    <x v="3"/>
    <x v="2"/>
    <n v="12"/>
    <n v="36845"/>
    <n v="442140"/>
  </r>
  <r>
    <n v="174"/>
    <s v="ODR_BC_88"/>
    <x v="173"/>
    <x v="1"/>
    <x v="3"/>
    <x v="1"/>
    <n v="2"/>
    <n v="7800"/>
    <n v="15600"/>
  </r>
  <r>
    <n v="175"/>
    <s v="ODR_CD_89"/>
    <x v="174"/>
    <x v="1"/>
    <x v="6"/>
    <x v="1"/>
    <n v="7"/>
    <n v="47712"/>
    <n v="333984"/>
  </r>
  <r>
    <n v="176"/>
    <s v="ODR_BC_89"/>
    <x v="175"/>
    <x v="3"/>
    <x v="1"/>
    <x v="5"/>
    <n v="16"/>
    <n v="7610"/>
    <n v="121760"/>
  </r>
  <r>
    <n v="177"/>
    <s v="ODR_CD_90"/>
    <x v="176"/>
    <x v="0"/>
    <x v="6"/>
    <x v="1"/>
    <n v="3"/>
    <n v="38872"/>
    <n v="116616"/>
  </r>
  <r>
    <n v="178"/>
    <s v="ODR_BC_90"/>
    <x v="177"/>
    <x v="0"/>
    <x v="5"/>
    <x v="3"/>
    <n v="13"/>
    <n v="15728"/>
    <n v="204464"/>
  </r>
  <r>
    <n v="179"/>
    <s v="ODR_CD_91"/>
    <x v="178"/>
    <x v="2"/>
    <x v="0"/>
    <x v="4"/>
    <n v="3"/>
    <n v="25583"/>
    <n v="76749"/>
  </r>
  <r>
    <n v="180"/>
    <s v="ODR_BC_91"/>
    <x v="179"/>
    <x v="0"/>
    <x v="0"/>
    <x v="1"/>
    <n v="18"/>
    <n v="12263"/>
    <n v="220734"/>
  </r>
  <r>
    <n v="181"/>
    <s v="ODR_CD_92"/>
    <x v="180"/>
    <x v="2"/>
    <x v="5"/>
    <x v="0"/>
    <n v="11"/>
    <n v="72450"/>
    <n v="796950"/>
  </r>
  <r>
    <n v="182"/>
    <s v="ODR_BC_92"/>
    <x v="181"/>
    <x v="0"/>
    <x v="6"/>
    <x v="5"/>
    <n v="8"/>
    <n v="24456"/>
    <n v="195648"/>
  </r>
  <r>
    <n v="183"/>
    <s v="ODR_CD_93"/>
    <x v="182"/>
    <x v="3"/>
    <x v="0"/>
    <x v="0"/>
    <n v="6"/>
    <n v="70942"/>
    <n v="425652"/>
  </r>
  <r>
    <n v="184"/>
    <s v="ODR_BC_93"/>
    <x v="183"/>
    <x v="0"/>
    <x v="0"/>
    <x v="2"/>
    <n v="1"/>
    <n v="18689"/>
    <n v="18689"/>
  </r>
  <r>
    <n v="185"/>
    <s v="ODR_CD_94"/>
    <x v="184"/>
    <x v="2"/>
    <x v="1"/>
    <x v="4"/>
    <n v="1"/>
    <n v="37934"/>
    <n v="37934"/>
  </r>
  <r>
    <n v="186"/>
    <s v="ODR_BC_94"/>
    <x v="185"/>
    <x v="2"/>
    <x v="6"/>
    <x v="1"/>
    <n v="8"/>
    <n v="38276"/>
    <n v="306208"/>
  </r>
  <r>
    <n v="187"/>
    <s v="ODR_CD_95"/>
    <x v="186"/>
    <x v="3"/>
    <x v="0"/>
    <x v="0"/>
    <n v="5"/>
    <n v="24873"/>
    <n v="124365"/>
  </r>
  <r>
    <n v="188"/>
    <s v="ODR_BC_95"/>
    <x v="187"/>
    <x v="0"/>
    <x v="6"/>
    <x v="4"/>
    <n v="16"/>
    <n v="18050"/>
    <n v="288800"/>
  </r>
  <r>
    <n v="189"/>
    <s v="ODR_CD_96"/>
    <x v="188"/>
    <x v="0"/>
    <x v="4"/>
    <x v="2"/>
    <n v="11"/>
    <n v="71216"/>
    <n v="783376"/>
  </r>
  <r>
    <n v="190"/>
    <s v="ODR_BC_96"/>
    <x v="189"/>
    <x v="3"/>
    <x v="3"/>
    <x v="3"/>
    <n v="5"/>
    <n v="26644"/>
    <n v="133220"/>
  </r>
  <r>
    <n v="191"/>
    <s v="ODR_CD_97"/>
    <x v="190"/>
    <x v="0"/>
    <x v="0"/>
    <x v="5"/>
    <n v="4"/>
    <n v="67021"/>
    <n v="268084"/>
  </r>
  <r>
    <n v="192"/>
    <s v="ODR_BC_97"/>
    <x v="191"/>
    <x v="0"/>
    <x v="1"/>
    <x v="4"/>
    <n v="6"/>
    <n v="42125"/>
    <n v="252750"/>
  </r>
  <r>
    <n v="193"/>
    <s v="ODR_CD_98"/>
    <x v="192"/>
    <x v="2"/>
    <x v="4"/>
    <x v="4"/>
    <n v="14"/>
    <n v="71899"/>
    <n v="1006586"/>
  </r>
  <r>
    <n v="194"/>
    <s v="ODR_BC_98"/>
    <x v="193"/>
    <x v="0"/>
    <x v="2"/>
    <x v="3"/>
    <n v="19"/>
    <n v="47291"/>
    <n v="898529"/>
  </r>
  <r>
    <n v="195"/>
    <s v="ODR_CD_99"/>
    <x v="194"/>
    <x v="0"/>
    <x v="4"/>
    <x v="4"/>
    <n v="9"/>
    <n v="40060"/>
    <n v="360540"/>
  </r>
  <r>
    <n v="196"/>
    <s v="ODR_BC_99"/>
    <x v="195"/>
    <x v="3"/>
    <x v="0"/>
    <x v="2"/>
    <n v="12"/>
    <n v="6538"/>
    <n v="78456"/>
  </r>
  <r>
    <n v="197"/>
    <s v="ODR_CD_100"/>
    <x v="196"/>
    <x v="3"/>
    <x v="2"/>
    <x v="2"/>
    <n v="11"/>
    <n v="41176"/>
    <n v="452936"/>
  </r>
  <r>
    <n v="198"/>
    <s v="ODR_BC_100"/>
    <x v="197"/>
    <x v="1"/>
    <x v="3"/>
    <x v="3"/>
    <n v="14"/>
    <n v="46520"/>
    <n v="651280"/>
  </r>
  <r>
    <n v="199"/>
    <s v="ODR_CD_101"/>
    <x v="198"/>
    <x v="2"/>
    <x v="4"/>
    <x v="5"/>
    <n v="16"/>
    <n v="30675"/>
    <n v="490800"/>
  </r>
  <r>
    <n v="200"/>
    <s v="ODR_BC_101"/>
    <x v="199"/>
    <x v="0"/>
    <x v="0"/>
    <x v="1"/>
    <n v="1"/>
    <n v="23287"/>
    <n v="23287"/>
  </r>
  <r>
    <n v="201"/>
    <s v="ODR_CD_102"/>
    <x v="200"/>
    <x v="0"/>
    <x v="1"/>
    <x v="0"/>
    <n v="13"/>
    <n v="5174"/>
    <n v="67262"/>
  </r>
  <r>
    <n v="202"/>
    <s v="ODR_BC_102"/>
    <x v="201"/>
    <x v="1"/>
    <x v="2"/>
    <x v="1"/>
    <n v="13"/>
    <n v="39998"/>
    <n v="519974"/>
  </r>
  <r>
    <n v="203"/>
    <s v="ODR_CD_103"/>
    <x v="202"/>
    <x v="0"/>
    <x v="4"/>
    <x v="4"/>
    <n v="2"/>
    <n v="58312"/>
    <n v="116624"/>
  </r>
  <r>
    <n v="204"/>
    <s v="ODR_BC_103"/>
    <x v="203"/>
    <x v="2"/>
    <x v="4"/>
    <x v="0"/>
    <n v="4"/>
    <n v="17112"/>
    <n v="68448"/>
  </r>
  <r>
    <n v="205"/>
    <s v="ODR_CD_104"/>
    <x v="204"/>
    <x v="1"/>
    <x v="6"/>
    <x v="3"/>
    <n v="6"/>
    <n v="49814"/>
    <n v="298884"/>
  </r>
  <r>
    <n v="206"/>
    <s v="ODR_BC_104"/>
    <x v="205"/>
    <x v="2"/>
    <x v="6"/>
    <x v="3"/>
    <n v="5"/>
    <n v="55719"/>
    <n v="278595"/>
  </r>
  <r>
    <n v="207"/>
    <s v="ODR_CD_105"/>
    <x v="206"/>
    <x v="1"/>
    <x v="1"/>
    <x v="5"/>
    <n v="3"/>
    <n v="38919"/>
    <n v="116757"/>
  </r>
  <r>
    <n v="208"/>
    <s v="ODR_BC_105"/>
    <x v="207"/>
    <x v="1"/>
    <x v="1"/>
    <x v="0"/>
    <n v="1"/>
    <n v="46328"/>
    <n v="46328"/>
  </r>
  <r>
    <n v="209"/>
    <s v="ODR_CD_106"/>
    <x v="208"/>
    <x v="3"/>
    <x v="0"/>
    <x v="2"/>
    <n v="4"/>
    <n v="29618"/>
    <n v="118472"/>
  </r>
  <r>
    <n v="210"/>
    <s v="ODR_BC_106"/>
    <x v="209"/>
    <x v="2"/>
    <x v="0"/>
    <x v="0"/>
    <n v="2"/>
    <n v="39675"/>
    <n v="79350"/>
  </r>
  <r>
    <n v="211"/>
    <s v="ODR_CD_107"/>
    <x v="210"/>
    <x v="0"/>
    <x v="1"/>
    <x v="4"/>
    <n v="5"/>
    <n v="23919"/>
    <n v="119595"/>
  </r>
  <r>
    <n v="212"/>
    <s v="ODR_BC_107"/>
    <x v="211"/>
    <x v="0"/>
    <x v="1"/>
    <x v="2"/>
    <n v="3"/>
    <n v="9173"/>
    <n v="27519"/>
  </r>
  <r>
    <n v="213"/>
    <s v="ODR_CD_108"/>
    <x v="212"/>
    <x v="2"/>
    <x v="2"/>
    <x v="3"/>
    <n v="9"/>
    <n v="31400"/>
    <n v="282600"/>
  </r>
  <r>
    <n v="214"/>
    <s v="ODR_BC_108"/>
    <x v="213"/>
    <x v="0"/>
    <x v="6"/>
    <x v="0"/>
    <n v="6"/>
    <n v="55445"/>
    <n v="332670"/>
  </r>
  <r>
    <n v="215"/>
    <s v="ODR_CD_109"/>
    <x v="214"/>
    <x v="0"/>
    <x v="0"/>
    <x v="1"/>
    <n v="18"/>
    <n v="42564"/>
    <n v="766152"/>
  </r>
  <r>
    <n v="216"/>
    <s v="ODR_BC_109"/>
    <x v="215"/>
    <x v="2"/>
    <x v="6"/>
    <x v="5"/>
    <n v="6"/>
    <n v="50814"/>
    <n v="304884"/>
  </r>
  <r>
    <n v="217"/>
    <s v="ODR_CD_110"/>
    <x v="216"/>
    <x v="1"/>
    <x v="6"/>
    <x v="1"/>
    <n v="19"/>
    <n v="32962"/>
    <n v="626278"/>
  </r>
  <r>
    <n v="218"/>
    <s v="ODR_BC_110"/>
    <x v="217"/>
    <x v="2"/>
    <x v="1"/>
    <x v="5"/>
    <n v="12"/>
    <n v="61184"/>
    <n v="734208"/>
  </r>
  <r>
    <n v="219"/>
    <s v="ODR_CD_111"/>
    <x v="218"/>
    <x v="1"/>
    <x v="2"/>
    <x v="4"/>
    <n v="11"/>
    <n v="15578"/>
    <n v="171358"/>
  </r>
  <r>
    <n v="220"/>
    <s v="ODR_BC_111"/>
    <x v="219"/>
    <x v="0"/>
    <x v="4"/>
    <x v="1"/>
    <n v="2"/>
    <n v="23624"/>
    <n v="47248"/>
  </r>
  <r>
    <n v="221"/>
    <s v="ODR_CD_112"/>
    <x v="220"/>
    <x v="0"/>
    <x v="2"/>
    <x v="0"/>
    <n v="15"/>
    <n v="44194"/>
    <n v="662910"/>
  </r>
  <r>
    <n v="222"/>
    <s v="ODR_BC_112"/>
    <x v="221"/>
    <x v="0"/>
    <x v="2"/>
    <x v="0"/>
    <n v="12"/>
    <n v="5389"/>
    <n v="64668"/>
  </r>
  <r>
    <n v="223"/>
    <s v="ODR_CD_113"/>
    <x v="222"/>
    <x v="3"/>
    <x v="6"/>
    <x v="1"/>
    <n v="12"/>
    <n v="72391"/>
    <n v="868692"/>
  </r>
  <r>
    <n v="224"/>
    <s v="ODR_BC_113"/>
    <x v="223"/>
    <x v="1"/>
    <x v="2"/>
    <x v="0"/>
    <n v="9"/>
    <n v="18794"/>
    <n v="169146"/>
  </r>
  <r>
    <n v="225"/>
    <s v="ODR_CD_114"/>
    <x v="224"/>
    <x v="3"/>
    <x v="0"/>
    <x v="4"/>
    <n v="2"/>
    <n v="63002"/>
    <n v="126004"/>
  </r>
  <r>
    <n v="226"/>
    <s v="ODR_BC_114"/>
    <x v="225"/>
    <x v="3"/>
    <x v="6"/>
    <x v="2"/>
    <n v="3"/>
    <n v="40531"/>
    <n v="121593"/>
  </r>
  <r>
    <n v="227"/>
    <s v="ODR_CD_115"/>
    <x v="226"/>
    <x v="2"/>
    <x v="0"/>
    <x v="4"/>
    <n v="12"/>
    <n v="57815"/>
    <n v="693780"/>
  </r>
  <r>
    <n v="228"/>
    <s v="ODR_BC_115"/>
    <x v="227"/>
    <x v="3"/>
    <x v="4"/>
    <x v="5"/>
    <n v="16"/>
    <n v="9986"/>
    <n v="159776"/>
  </r>
  <r>
    <n v="229"/>
    <s v="ODR_CD_116"/>
    <x v="228"/>
    <x v="2"/>
    <x v="6"/>
    <x v="4"/>
    <n v="1"/>
    <n v="37298"/>
    <n v="37298"/>
  </r>
  <r>
    <n v="230"/>
    <s v="ODR_BC_116"/>
    <x v="229"/>
    <x v="2"/>
    <x v="4"/>
    <x v="5"/>
    <n v="3"/>
    <n v="6481"/>
    <n v="19443"/>
  </r>
  <r>
    <n v="231"/>
    <s v="ODR_CD_117"/>
    <x v="230"/>
    <x v="3"/>
    <x v="6"/>
    <x v="0"/>
    <n v="2"/>
    <n v="61408"/>
    <n v="122816"/>
  </r>
  <r>
    <n v="232"/>
    <s v="ODR_BC_117"/>
    <x v="231"/>
    <x v="1"/>
    <x v="1"/>
    <x v="2"/>
    <n v="9"/>
    <n v="74267"/>
    <n v="668403"/>
  </r>
  <r>
    <n v="233"/>
    <s v="ODR_CD_118"/>
    <x v="232"/>
    <x v="1"/>
    <x v="2"/>
    <x v="0"/>
    <n v="19"/>
    <n v="21835"/>
    <n v="414865"/>
  </r>
  <r>
    <n v="234"/>
    <s v="ODR_BC_118"/>
    <x v="233"/>
    <x v="1"/>
    <x v="1"/>
    <x v="3"/>
    <n v="15"/>
    <n v="32798"/>
    <n v="491970"/>
  </r>
  <r>
    <n v="235"/>
    <s v="ODR_CD_119"/>
    <x v="234"/>
    <x v="1"/>
    <x v="4"/>
    <x v="0"/>
    <n v="18"/>
    <n v="69887"/>
    <n v="1257966"/>
  </r>
  <r>
    <n v="236"/>
    <s v="ODR_BC_119"/>
    <x v="235"/>
    <x v="1"/>
    <x v="2"/>
    <x v="5"/>
    <n v="11"/>
    <n v="24477"/>
    <n v="269247"/>
  </r>
  <r>
    <n v="237"/>
    <s v="ODR_CD_120"/>
    <x v="236"/>
    <x v="3"/>
    <x v="6"/>
    <x v="0"/>
    <n v="16"/>
    <n v="22266"/>
    <n v="356256"/>
  </r>
  <r>
    <n v="238"/>
    <s v="ODR_BC_120"/>
    <x v="237"/>
    <x v="3"/>
    <x v="2"/>
    <x v="0"/>
    <n v="17"/>
    <n v="48526"/>
    <n v="824942"/>
  </r>
  <r>
    <n v="239"/>
    <s v="ODR_CD_121"/>
    <x v="238"/>
    <x v="0"/>
    <x v="0"/>
    <x v="2"/>
    <n v="5"/>
    <n v="16889"/>
    <n v="84445"/>
  </r>
  <r>
    <n v="240"/>
    <s v="ODR_BC_121"/>
    <x v="239"/>
    <x v="1"/>
    <x v="2"/>
    <x v="0"/>
    <n v="12"/>
    <n v="29335"/>
    <n v="352020"/>
  </r>
  <r>
    <n v="241"/>
    <s v="ODR_CD_122"/>
    <x v="240"/>
    <x v="3"/>
    <x v="6"/>
    <x v="2"/>
    <n v="11"/>
    <n v="16254"/>
    <n v="178794"/>
  </r>
  <r>
    <n v="242"/>
    <s v="ODR_BC_122"/>
    <x v="241"/>
    <x v="0"/>
    <x v="2"/>
    <x v="1"/>
    <n v="15"/>
    <n v="16442"/>
    <n v="246630"/>
  </r>
  <r>
    <n v="243"/>
    <s v="ODR_CD_123"/>
    <x v="242"/>
    <x v="1"/>
    <x v="6"/>
    <x v="3"/>
    <n v="3"/>
    <n v="51289"/>
    <n v="153867"/>
  </r>
  <r>
    <n v="244"/>
    <s v="ODR_BC_123"/>
    <x v="243"/>
    <x v="2"/>
    <x v="4"/>
    <x v="2"/>
    <n v="1"/>
    <n v="58747"/>
    <n v="58747"/>
  </r>
  <r>
    <n v="245"/>
    <s v="ODR_CD_124"/>
    <x v="244"/>
    <x v="0"/>
    <x v="1"/>
    <x v="5"/>
    <n v="16"/>
    <n v="42327"/>
    <n v="677232"/>
  </r>
  <r>
    <n v="246"/>
    <s v="ODR_BC_124"/>
    <x v="245"/>
    <x v="3"/>
    <x v="6"/>
    <x v="1"/>
    <n v="2"/>
    <n v="21199"/>
    <n v="42398"/>
  </r>
  <r>
    <n v="247"/>
    <s v="ODR_CD_125"/>
    <x v="246"/>
    <x v="2"/>
    <x v="2"/>
    <x v="2"/>
    <n v="2"/>
    <n v="5112"/>
    <n v="10224"/>
  </r>
  <r>
    <n v="248"/>
    <s v="ODR_BC_125"/>
    <x v="247"/>
    <x v="2"/>
    <x v="1"/>
    <x v="2"/>
    <n v="3"/>
    <n v="24581"/>
    <n v="73743"/>
  </r>
  <r>
    <n v="249"/>
    <s v="ODR_CD_126"/>
    <x v="248"/>
    <x v="2"/>
    <x v="6"/>
    <x v="3"/>
    <n v="8"/>
    <n v="64722"/>
    <n v="517776"/>
  </r>
  <r>
    <n v="250"/>
    <s v="ODR_BC_126"/>
    <x v="249"/>
    <x v="0"/>
    <x v="6"/>
    <x v="5"/>
    <n v="15"/>
    <n v="21523"/>
    <n v="322845"/>
  </r>
  <r>
    <n v="251"/>
    <s v="ODR_CD_127"/>
    <x v="250"/>
    <x v="3"/>
    <x v="6"/>
    <x v="4"/>
    <n v="7"/>
    <n v="71960"/>
    <n v="503720"/>
  </r>
  <r>
    <n v="252"/>
    <s v="ODR_BC_127"/>
    <x v="251"/>
    <x v="2"/>
    <x v="4"/>
    <x v="4"/>
    <n v="6"/>
    <n v="24552"/>
    <n v="147312"/>
  </r>
  <r>
    <n v="253"/>
    <s v="ODR_CD_128"/>
    <x v="252"/>
    <x v="1"/>
    <x v="4"/>
    <x v="2"/>
    <n v="9"/>
    <n v="15808"/>
    <n v="142272"/>
  </r>
  <r>
    <n v="254"/>
    <s v="ODR_BC_128"/>
    <x v="253"/>
    <x v="2"/>
    <x v="1"/>
    <x v="0"/>
    <n v="1"/>
    <n v="28620"/>
    <n v="28620"/>
  </r>
  <r>
    <n v="255"/>
    <s v="ODR_CD_129"/>
    <x v="254"/>
    <x v="2"/>
    <x v="4"/>
    <x v="5"/>
    <n v="8"/>
    <n v="5887"/>
    <n v="47096"/>
  </r>
  <r>
    <n v="256"/>
    <s v="ODR_BC_129"/>
    <x v="255"/>
    <x v="0"/>
    <x v="2"/>
    <x v="1"/>
    <n v="3"/>
    <n v="36802"/>
    <n v="110406"/>
  </r>
  <r>
    <n v="257"/>
    <s v="ODR_CD_130"/>
    <x v="256"/>
    <x v="0"/>
    <x v="4"/>
    <x v="0"/>
    <n v="4"/>
    <n v="31049"/>
    <n v="124196"/>
  </r>
  <r>
    <n v="258"/>
    <s v="ODR_BC_130"/>
    <x v="257"/>
    <x v="3"/>
    <x v="1"/>
    <x v="0"/>
    <n v="15"/>
    <n v="12846"/>
    <n v="192690"/>
  </r>
  <r>
    <n v="259"/>
    <s v="ODR_CD_131"/>
    <x v="258"/>
    <x v="1"/>
    <x v="4"/>
    <x v="5"/>
    <n v="6"/>
    <n v="51220"/>
    <n v="307320"/>
  </r>
  <r>
    <n v="260"/>
    <s v="ODR_BC_131"/>
    <x v="259"/>
    <x v="0"/>
    <x v="2"/>
    <x v="2"/>
    <n v="15"/>
    <n v="51163"/>
    <n v="767445"/>
  </r>
  <r>
    <n v="261"/>
    <s v="ODR_CD_132"/>
    <x v="260"/>
    <x v="2"/>
    <x v="6"/>
    <x v="2"/>
    <n v="3"/>
    <n v="8765"/>
    <n v="26295"/>
  </r>
  <r>
    <n v="262"/>
    <s v="ODR_BC_132"/>
    <x v="261"/>
    <x v="3"/>
    <x v="1"/>
    <x v="2"/>
    <n v="14"/>
    <n v="50270"/>
    <n v="703780"/>
  </r>
  <r>
    <n v="263"/>
    <s v="ODR_CD_133"/>
    <x v="262"/>
    <x v="2"/>
    <x v="6"/>
    <x v="2"/>
    <n v="14"/>
    <n v="27931"/>
    <n v="391034"/>
  </r>
  <r>
    <n v="264"/>
    <s v="ODR_BC_133"/>
    <x v="263"/>
    <x v="2"/>
    <x v="6"/>
    <x v="4"/>
    <n v="4"/>
    <n v="60633"/>
    <n v="242532"/>
  </r>
  <r>
    <n v="265"/>
    <s v="ODR_CD_134"/>
    <x v="264"/>
    <x v="0"/>
    <x v="0"/>
    <x v="2"/>
    <n v="12"/>
    <n v="56913"/>
    <n v="682956"/>
  </r>
  <r>
    <n v="266"/>
    <s v="ODR_BC_134"/>
    <x v="265"/>
    <x v="3"/>
    <x v="6"/>
    <x v="4"/>
    <n v="17"/>
    <n v="30991"/>
    <n v="526847"/>
  </r>
  <r>
    <n v="267"/>
    <s v="ODR_CD_135"/>
    <x v="266"/>
    <x v="1"/>
    <x v="6"/>
    <x v="4"/>
    <n v="7"/>
    <n v="59845"/>
    <n v="418915"/>
  </r>
  <r>
    <n v="268"/>
    <s v="ODR_BC_135"/>
    <x v="267"/>
    <x v="1"/>
    <x v="0"/>
    <x v="2"/>
    <n v="9"/>
    <n v="60312"/>
    <n v="542808"/>
  </r>
  <r>
    <n v="269"/>
    <s v="ODR_CD_136"/>
    <x v="268"/>
    <x v="0"/>
    <x v="1"/>
    <x v="3"/>
    <n v="3"/>
    <n v="15561"/>
    <n v="46683"/>
  </r>
  <r>
    <n v="270"/>
    <s v="ODR_BC_136"/>
    <x v="269"/>
    <x v="0"/>
    <x v="2"/>
    <x v="1"/>
    <n v="13"/>
    <n v="21901"/>
    <n v="284713"/>
  </r>
  <r>
    <n v="271"/>
    <s v="ODR_CD_137"/>
    <x v="270"/>
    <x v="3"/>
    <x v="2"/>
    <x v="0"/>
    <n v="15"/>
    <n v="67875"/>
    <n v="1018125"/>
  </r>
  <r>
    <n v="272"/>
    <s v="ODR_BC_137"/>
    <x v="271"/>
    <x v="1"/>
    <x v="4"/>
    <x v="4"/>
    <n v="18"/>
    <n v="30917"/>
    <n v="556506"/>
  </r>
  <r>
    <n v="273"/>
    <s v="ODR_CD_138"/>
    <x v="272"/>
    <x v="1"/>
    <x v="5"/>
    <x v="5"/>
    <n v="19"/>
    <n v="67120"/>
    <n v="1275280"/>
  </r>
  <r>
    <n v="274"/>
    <s v="ODR_BC_138"/>
    <x v="273"/>
    <x v="1"/>
    <x v="3"/>
    <x v="5"/>
    <n v="1"/>
    <n v="6988"/>
    <n v="6988"/>
  </r>
  <r>
    <n v="275"/>
    <s v="ODR_CD_139"/>
    <x v="274"/>
    <x v="2"/>
    <x v="0"/>
    <x v="1"/>
    <n v="6"/>
    <n v="19256"/>
    <n v="115536"/>
  </r>
  <r>
    <n v="276"/>
    <s v="ODR_BC_139"/>
    <x v="275"/>
    <x v="1"/>
    <x v="4"/>
    <x v="5"/>
    <n v="2"/>
    <n v="33230"/>
    <n v="66460"/>
  </r>
  <r>
    <n v="277"/>
    <s v="ODR_CD_140"/>
    <x v="276"/>
    <x v="2"/>
    <x v="2"/>
    <x v="3"/>
    <n v="14"/>
    <n v="64778"/>
    <n v="906892"/>
  </r>
  <r>
    <n v="278"/>
    <s v="ODR_BC_140"/>
    <x v="277"/>
    <x v="3"/>
    <x v="3"/>
    <x v="5"/>
    <n v="6"/>
    <n v="50833"/>
    <n v="304998"/>
  </r>
  <r>
    <n v="279"/>
    <s v="ODR_CD_141"/>
    <x v="278"/>
    <x v="2"/>
    <x v="3"/>
    <x v="0"/>
    <n v="14"/>
    <n v="27625"/>
    <n v="386750"/>
  </r>
  <r>
    <n v="280"/>
    <s v="ODR_BC_141"/>
    <x v="279"/>
    <x v="3"/>
    <x v="0"/>
    <x v="0"/>
    <n v="4"/>
    <n v="37088"/>
    <n v="148352"/>
  </r>
  <r>
    <n v="281"/>
    <s v="ODR_CD_142"/>
    <x v="280"/>
    <x v="1"/>
    <x v="2"/>
    <x v="4"/>
    <n v="8"/>
    <n v="46167"/>
    <n v="369336"/>
  </r>
  <r>
    <n v="282"/>
    <s v="ODR_BC_142"/>
    <x v="281"/>
    <x v="1"/>
    <x v="5"/>
    <x v="2"/>
    <n v="3"/>
    <n v="70303"/>
    <n v="210909"/>
  </r>
  <r>
    <n v="283"/>
    <s v="ODR_CD_143"/>
    <x v="282"/>
    <x v="3"/>
    <x v="3"/>
    <x v="3"/>
    <n v="19"/>
    <n v="9117"/>
    <n v="173223"/>
  </r>
  <r>
    <n v="284"/>
    <s v="ODR_BC_143"/>
    <x v="283"/>
    <x v="0"/>
    <x v="0"/>
    <x v="4"/>
    <n v="14"/>
    <n v="65710"/>
    <n v="919940"/>
  </r>
  <r>
    <n v="285"/>
    <s v="ODR_CD_144"/>
    <x v="284"/>
    <x v="3"/>
    <x v="5"/>
    <x v="3"/>
    <n v="17"/>
    <n v="72054"/>
    <n v="1224918"/>
  </r>
  <r>
    <n v="286"/>
    <s v="ODR_BC_144"/>
    <x v="285"/>
    <x v="0"/>
    <x v="2"/>
    <x v="2"/>
    <n v="8"/>
    <n v="35949"/>
    <n v="287592"/>
  </r>
  <r>
    <n v="287"/>
    <s v="ODR_CD_145"/>
    <x v="286"/>
    <x v="2"/>
    <x v="3"/>
    <x v="5"/>
    <n v="14"/>
    <n v="27547"/>
    <n v="385658"/>
  </r>
  <r>
    <n v="288"/>
    <s v="ODR_BC_145"/>
    <x v="287"/>
    <x v="2"/>
    <x v="5"/>
    <x v="5"/>
    <n v="6"/>
    <n v="73136"/>
    <n v="438816"/>
  </r>
  <r>
    <n v="289"/>
    <s v="ODR_CD_146"/>
    <x v="288"/>
    <x v="2"/>
    <x v="5"/>
    <x v="2"/>
    <n v="16"/>
    <n v="69619"/>
    <n v="1113904"/>
  </r>
  <r>
    <n v="290"/>
    <s v="ODR_BC_146"/>
    <x v="289"/>
    <x v="1"/>
    <x v="5"/>
    <x v="4"/>
    <n v="19"/>
    <n v="66842"/>
    <n v="1269998"/>
  </r>
  <r>
    <n v="291"/>
    <s v="ODR_CD_147"/>
    <x v="290"/>
    <x v="2"/>
    <x v="3"/>
    <x v="2"/>
    <n v="14"/>
    <n v="31990"/>
    <n v="447860"/>
  </r>
  <r>
    <n v="292"/>
    <s v="ODR_BC_147"/>
    <x v="291"/>
    <x v="0"/>
    <x v="3"/>
    <x v="1"/>
    <n v="19"/>
    <n v="21193"/>
    <n v="402667"/>
  </r>
  <r>
    <n v="293"/>
    <s v="ODR_CD_148"/>
    <x v="292"/>
    <x v="2"/>
    <x v="4"/>
    <x v="0"/>
    <n v="3"/>
    <n v="35109"/>
    <n v="105327"/>
  </r>
  <r>
    <n v="294"/>
    <s v="ODR_BC_148"/>
    <x v="293"/>
    <x v="3"/>
    <x v="2"/>
    <x v="4"/>
    <n v="10"/>
    <n v="24233"/>
    <n v="242330"/>
  </r>
  <r>
    <n v="295"/>
    <s v="ODR_CD_149"/>
    <x v="294"/>
    <x v="3"/>
    <x v="0"/>
    <x v="3"/>
    <n v="19"/>
    <n v="39510"/>
    <n v="750690"/>
  </r>
  <r>
    <n v="296"/>
    <s v="ODR_BC_149"/>
    <x v="295"/>
    <x v="1"/>
    <x v="5"/>
    <x v="1"/>
    <n v="9"/>
    <n v="6306"/>
    <n v="56754"/>
  </r>
  <r>
    <n v="297"/>
    <s v="ODR_CD_150"/>
    <x v="296"/>
    <x v="3"/>
    <x v="4"/>
    <x v="4"/>
    <n v="13"/>
    <n v="8849"/>
    <n v="115037"/>
  </r>
  <r>
    <n v="298"/>
    <s v="ODR_BC_150"/>
    <x v="297"/>
    <x v="0"/>
    <x v="0"/>
    <x v="2"/>
    <n v="7"/>
    <n v="17360"/>
    <n v="121520"/>
  </r>
  <r>
    <n v="299"/>
    <s v="ODR_CD_151"/>
    <x v="298"/>
    <x v="2"/>
    <x v="4"/>
    <x v="2"/>
    <n v="14"/>
    <n v="50800"/>
    <n v="711200"/>
  </r>
  <r>
    <n v="300"/>
    <s v="ODR_BC_151"/>
    <x v="299"/>
    <x v="1"/>
    <x v="3"/>
    <x v="2"/>
    <n v="9"/>
    <n v="41963"/>
    <n v="377667"/>
  </r>
  <r>
    <n v="301"/>
    <s v="ODR_CD_152"/>
    <x v="300"/>
    <x v="2"/>
    <x v="5"/>
    <x v="2"/>
    <n v="19"/>
    <n v="59330"/>
    <n v="1127270"/>
  </r>
  <r>
    <n v="302"/>
    <s v="ODR_BC_152"/>
    <x v="301"/>
    <x v="2"/>
    <x v="0"/>
    <x v="3"/>
    <n v="15"/>
    <n v="56707"/>
    <n v="850605"/>
  </r>
  <r>
    <n v="303"/>
    <s v="ODR_CD_153"/>
    <x v="302"/>
    <x v="0"/>
    <x v="0"/>
    <x v="1"/>
    <n v="14"/>
    <n v="23689"/>
    <n v="331646"/>
  </r>
  <r>
    <n v="304"/>
    <s v="ODR_BC_153"/>
    <x v="303"/>
    <x v="3"/>
    <x v="0"/>
    <x v="5"/>
    <n v="6"/>
    <n v="34084"/>
    <n v="204504"/>
  </r>
  <r>
    <n v="305"/>
    <s v="ODR_CD_154"/>
    <x v="304"/>
    <x v="3"/>
    <x v="0"/>
    <x v="0"/>
    <n v="4"/>
    <n v="45387"/>
    <n v="181548"/>
  </r>
  <r>
    <n v="306"/>
    <s v="ODR_BC_154"/>
    <x v="305"/>
    <x v="2"/>
    <x v="0"/>
    <x v="3"/>
    <n v="8"/>
    <n v="7642"/>
    <n v="61136"/>
  </r>
  <r>
    <n v="307"/>
    <s v="ODR_CD_155"/>
    <x v="306"/>
    <x v="1"/>
    <x v="4"/>
    <x v="3"/>
    <n v="17"/>
    <n v="47137"/>
    <n v="801329"/>
  </r>
  <r>
    <n v="308"/>
    <s v="ODR_BC_155"/>
    <x v="307"/>
    <x v="3"/>
    <x v="5"/>
    <x v="5"/>
    <n v="9"/>
    <n v="60561"/>
    <n v="545049"/>
  </r>
  <r>
    <n v="309"/>
    <s v="ODR_CD_156"/>
    <x v="308"/>
    <x v="1"/>
    <x v="3"/>
    <x v="6"/>
    <n v="1"/>
    <n v="67260"/>
    <n v="67260"/>
  </r>
  <r>
    <n v="310"/>
    <s v="ODR_BC_156"/>
    <x v="309"/>
    <x v="3"/>
    <x v="3"/>
    <x v="0"/>
    <n v="14"/>
    <n v="20438"/>
    <n v="286132"/>
  </r>
  <r>
    <n v="311"/>
    <s v="ODR_CD_157"/>
    <x v="310"/>
    <x v="1"/>
    <x v="3"/>
    <x v="0"/>
    <n v="11"/>
    <n v="53442"/>
    <n v="587862"/>
  </r>
  <r>
    <n v="312"/>
    <s v="ODR_BC_157"/>
    <x v="311"/>
    <x v="0"/>
    <x v="3"/>
    <x v="6"/>
    <n v="3"/>
    <n v="7994"/>
    <n v="23982"/>
  </r>
  <r>
    <n v="313"/>
    <s v="ODR_CD_158"/>
    <x v="312"/>
    <x v="1"/>
    <x v="4"/>
    <x v="2"/>
    <n v="9"/>
    <n v="6813"/>
    <n v="61317"/>
  </r>
  <r>
    <n v="314"/>
    <s v="ODR_BC_158"/>
    <x v="313"/>
    <x v="0"/>
    <x v="2"/>
    <x v="3"/>
    <n v="14"/>
    <n v="60276"/>
    <n v="843864"/>
  </r>
  <r>
    <n v="315"/>
    <s v="ODR_CD_159"/>
    <x v="314"/>
    <x v="0"/>
    <x v="5"/>
    <x v="4"/>
    <n v="9"/>
    <n v="46243"/>
    <n v="416187"/>
  </r>
  <r>
    <n v="316"/>
    <s v="ODR_BC_159"/>
    <x v="315"/>
    <x v="1"/>
    <x v="0"/>
    <x v="0"/>
    <n v="4"/>
    <n v="67912"/>
    <n v="271648"/>
  </r>
  <r>
    <n v="317"/>
    <s v="ODR_CD_160"/>
    <x v="316"/>
    <x v="0"/>
    <x v="6"/>
    <x v="0"/>
    <n v="4"/>
    <n v="65272"/>
    <n v="261088"/>
  </r>
  <r>
    <n v="318"/>
    <s v="ODR_BC_160"/>
    <x v="317"/>
    <x v="2"/>
    <x v="6"/>
    <x v="6"/>
    <n v="8"/>
    <n v="47051"/>
    <n v="376408"/>
  </r>
  <r>
    <n v="319"/>
    <s v="ODR_CD_161"/>
    <x v="318"/>
    <x v="0"/>
    <x v="6"/>
    <x v="1"/>
    <n v="2"/>
    <n v="70618"/>
    <n v="141236"/>
  </r>
  <r>
    <n v="320"/>
    <s v="ODR_BC_161"/>
    <x v="319"/>
    <x v="3"/>
    <x v="5"/>
    <x v="4"/>
    <n v="9"/>
    <n v="6920"/>
    <n v="62280"/>
  </r>
  <r>
    <n v="321"/>
    <s v="ODR_CD_162"/>
    <x v="320"/>
    <x v="1"/>
    <x v="0"/>
    <x v="4"/>
    <n v="14"/>
    <n v="7093"/>
    <n v="99302"/>
  </r>
  <r>
    <n v="322"/>
    <s v="ODR_BC_162"/>
    <x v="321"/>
    <x v="2"/>
    <x v="0"/>
    <x v="0"/>
    <n v="9"/>
    <n v="17905"/>
    <n v="161145"/>
  </r>
  <r>
    <n v="323"/>
    <s v="ODR_CD_163"/>
    <x v="322"/>
    <x v="1"/>
    <x v="5"/>
    <x v="2"/>
    <n v="16"/>
    <n v="29351"/>
    <n v="469616"/>
  </r>
  <r>
    <n v="324"/>
    <s v="ODR_BC_163"/>
    <x v="323"/>
    <x v="3"/>
    <x v="5"/>
    <x v="1"/>
    <n v="17"/>
    <n v="35981"/>
    <n v="611677"/>
  </r>
  <r>
    <n v="325"/>
    <s v="ODR_CD_164"/>
    <x v="324"/>
    <x v="3"/>
    <x v="6"/>
    <x v="4"/>
    <n v="16"/>
    <n v="24874"/>
    <n v="397984"/>
  </r>
  <r>
    <n v="326"/>
    <s v="ODR_BC_164"/>
    <x v="325"/>
    <x v="3"/>
    <x v="0"/>
    <x v="0"/>
    <n v="12"/>
    <n v="55931"/>
    <n v="671172"/>
  </r>
  <r>
    <n v="327"/>
    <s v="ODR_CD_165"/>
    <x v="326"/>
    <x v="0"/>
    <x v="6"/>
    <x v="4"/>
    <n v="3"/>
    <n v="12674"/>
    <n v="38022"/>
  </r>
  <r>
    <n v="328"/>
    <s v="ODR_BC_165"/>
    <x v="327"/>
    <x v="0"/>
    <x v="4"/>
    <x v="1"/>
    <n v="11"/>
    <n v="55516"/>
    <n v="610676"/>
  </r>
  <r>
    <n v="329"/>
    <s v="ODR_CD_166"/>
    <x v="328"/>
    <x v="1"/>
    <x v="4"/>
    <x v="1"/>
    <n v="14"/>
    <n v="65686"/>
    <n v="919604"/>
  </r>
  <r>
    <n v="330"/>
    <s v="ODR_BC_166"/>
    <x v="329"/>
    <x v="1"/>
    <x v="5"/>
    <x v="3"/>
    <n v="18"/>
    <n v="74212"/>
    <n v="1335816"/>
  </r>
  <r>
    <n v="331"/>
    <s v="ODR_CD_167"/>
    <x v="330"/>
    <x v="2"/>
    <x v="6"/>
    <x v="6"/>
    <n v="5"/>
    <n v="7426"/>
    <n v="37130"/>
  </r>
  <r>
    <n v="332"/>
    <s v="ODR_BC_167"/>
    <x v="331"/>
    <x v="2"/>
    <x v="4"/>
    <x v="6"/>
    <n v="16"/>
    <n v="73498"/>
    <n v="1175968"/>
  </r>
  <r>
    <n v="333"/>
    <s v="ODR_CD_168"/>
    <x v="332"/>
    <x v="1"/>
    <x v="0"/>
    <x v="0"/>
    <n v="5"/>
    <n v="34943"/>
    <n v="174715"/>
  </r>
  <r>
    <n v="334"/>
    <s v="ODR_BC_168"/>
    <x v="333"/>
    <x v="0"/>
    <x v="1"/>
    <x v="1"/>
    <n v="3"/>
    <n v="71395"/>
    <n v="214185"/>
  </r>
  <r>
    <n v="335"/>
    <s v="ODR_CD_169"/>
    <x v="334"/>
    <x v="3"/>
    <x v="6"/>
    <x v="3"/>
    <n v="12"/>
    <n v="49816"/>
    <n v="597792"/>
  </r>
  <r>
    <n v="336"/>
    <s v="ODR_BC_169"/>
    <x v="335"/>
    <x v="1"/>
    <x v="1"/>
    <x v="3"/>
    <n v="1"/>
    <n v="9138"/>
    <n v="9138"/>
  </r>
  <r>
    <n v="337"/>
    <s v="ODR_CD_170"/>
    <x v="336"/>
    <x v="2"/>
    <x v="6"/>
    <x v="4"/>
    <n v="9"/>
    <n v="9017"/>
    <n v="81153"/>
  </r>
  <r>
    <n v="338"/>
    <s v="ODR_BC_170"/>
    <x v="337"/>
    <x v="0"/>
    <x v="1"/>
    <x v="4"/>
    <n v="9"/>
    <n v="15451"/>
    <n v="139059"/>
  </r>
  <r>
    <n v="339"/>
    <s v="ODR_CD_171"/>
    <x v="338"/>
    <x v="1"/>
    <x v="1"/>
    <x v="3"/>
    <n v="4"/>
    <n v="67956"/>
    <n v="271824"/>
  </r>
  <r>
    <n v="340"/>
    <s v="ODR_BC_171"/>
    <x v="339"/>
    <x v="1"/>
    <x v="1"/>
    <x v="4"/>
    <n v="3"/>
    <n v="15278"/>
    <n v="45834"/>
  </r>
  <r>
    <n v="341"/>
    <s v="ODR_CD_172"/>
    <x v="340"/>
    <x v="0"/>
    <x v="6"/>
    <x v="1"/>
    <n v="17"/>
    <n v="48764"/>
    <n v="828988"/>
  </r>
  <r>
    <n v="342"/>
    <s v="ODR_BC_172"/>
    <x v="341"/>
    <x v="1"/>
    <x v="6"/>
    <x v="2"/>
    <n v="2"/>
    <n v="6134"/>
    <n v="12268"/>
  </r>
  <r>
    <n v="343"/>
    <s v="ODR_CD_173"/>
    <x v="342"/>
    <x v="0"/>
    <x v="1"/>
    <x v="1"/>
    <n v="1"/>
    <n v="67943"/>
    <n v="67943"/>
  </r>
  <r>
    <n v="344"/>
    <s v="ODR_BC_173"/>
    <x v="343"/>
    <x v="3"/>
    <x v="5"/>
    <x v="3"/>
    <n v="8"/>
    <n v="59318"/>
    <n v="474544"/>
  </r>
  <r>
    <n v="345"/>
    <s v="ODR_CD_174"/>
    <x v="344"/>
    <x v="0"/>
    <x v="6"/>
    <x v="3"/>
    <n v="13"/>
    <n v="65128"/>
    <n v="846664"/>
  </r>
  <r>
    <n v="346"/>
    <s v="ODR_BC_174"/>
    <x v="345"/>
    <x v="0"/>
    <x v="6"/>
    <x v="1"/>
    <n v="15"/>
    <n v="26869"/>
    <n v="403035"/>
  </r>
  <r>
    <n v="347"/>
    <s v="ODR_CD_175"/>
    <x v="346"/>
    <x v="0"/>
    <x v="6"/>
    <x v="4"/>
    <n v="8"/>
    <n v="10039"/>
    <n v="80312"/>
  </r>
  <r>
    <n v="348"/>
    <s v="ODR_BC_175"/>
    <x v="347"/>
    <x v="1"/>
    <x v="6"/>
    <x v="4"/>
    <n v="12"/>
    <n v="26281"/>
    <n v="315372"/>
  </r>
  <r>
    <n v="349"/>
    <s v="ODR_CD_176"/>
    <x v="348"/>
    <x v="1"/>
    <x v="6"/>
    <x v="6"/>
    <n v="12"/>
    <n v="15442"/>
    <n v="185304"/>
  </r>
  <r>
    <n v="350"/>
    <s v="ODR_BC_176"/>
    <x v="349"/>
    <x v="0"/>
    <x v="5"/>
    <x v="3"/>
    <n v="14"/>
    <n v="32586"/>
    <n v="456204"/>
  </r>
  <r>
    <n v="351"/>
    <s v="ODR_CD_177"/>
    <x v="350"/>
    <x v="1"/>
    <x v="6"/>
    <x v="0"/>
    <n v="15"/>
    <n v="58053"/>
    <n v="870795"/>
  </r>
  <r>
    <n v="352"/>
    <s v="ODR_BC_177"/>
    <x v="351"/>
    <x v="2"/>
    <x v="3"/>
    <x v="6"/>
    <n v="15"/>
    <n v="55489"/>
    <n v="832335"/>
  </r>
  <r>
    <n v="353"/>
    <s v="ODR_CD_178"/>
    <x v="352"/>
    <x v="2"/>
    <x v="1"/>
    <x v="4"/>
    <n v="9"/>
    <n v="72087"/>
    <n v="648783"/>
  </r>
  <r>
    <n v="354"/>
    <s v="ODR_BC_178"/>
    <x v="353"/>
    <x v="1"/>
    <x v="6"/>
    <x v="1"/>
    <n v="19"/>
    <n v="17625"/>
    <n v="334875"/>
  </r>
  <r>
    <n v="355"/>
    <s v="ODR_CD_179"/>
    <x v="354"/>
    <x v="1"/>
    <x v="3"/>
    <x v="4"/>
    <n v="8"/>
    <n v="39397"/>
    <n v="315176"/>
  </r>
  <r>
    <n v="356"/>
    <s v="ODR_BC_179"/>
    <x v="355"/>
    <x v="0"/>
    <x v="5"/>
    <x v="1"/>
    <n v="19"/>
    <n v="63671"/>
    <n v="1209749"/>
  </r>
  <r>
    <n v="357"/>
    <s v="ODR_CD_180"/>
    <x v="356"/>
    <x v="3"/>
    <x v="5"/>
    <x v="6"/>
    <n v="6"/>
    <n v="71897"/>
    <n v="431382"/>
  </r>
  <r>
    <n v="358"/>
    <s v="ODR_BC_180"/>
    <x v="357"/>
    <x v="1"/>
    <x v="3"/>
    <x v="3"/>
    <n v="19"/>
    <n v="31149"/>
    <n v="591831"/>
  </r>
  <r>
    <n v="359"/>
    <s v="ODR_CD_181"/>
    <x v="358"/>
    <x v="2"/>
    <x v="6"/>
    <x v="4"/>
    <n v="4"/>
    <n v="65030"/>
    <n v="260120"/>
  </r>
  <r>
    <n v="360"/>
    <s v="ODR_BC_181"/>
    <x v="359"/>
    <x v="0"/>
    <x v="5"/>
    <x v="1"/>
    <n v="7"/>
    <n v="74906"/>
    <n v="524342"/>
  </r>
  <r>
    <n v="361"/>
    <s v="ODR_CD_182"/>
    <x v="360"/>
    <x v="1"/>
    <x v="1"/>
    <x v="3"/>
    <n v="4"/>
    <n v="10283"/>
    <n v="41132"/>
  </r>
  <r>
    <n v="362"/>
    <s v="ODR_BC_182"/>
    <x v="361"/>
    <x v="2"/>
    <x v="5"/>
    <x v="0"/>
    <n v="12"/>
    <n v="12610"/>
    <n v="151320"/>
  </r>
  <r>
    <n v="363"/>
    <s v="ODR_CD_183"/>
    <x v="362"/>
    <x v="2"/>
    <x v="0"/>
    <x v="1"/>
    <n v="13"/>
    <n v="48326"/>
    <n v="628238"/>
  </r>
  <r>
    <n v="364"/>
    <s v="ODR_BC_183"/>
    <x v="363"/>
    <x v="3"/>
    <x v="0"/>
    <x v="6"/>
    <n v="3"/>
    <n v="19924"/>
    <n v="59772"/>
  </r>
  <r>
    <n v="365"/>
    <s v="ODR_CD_184"/>
    <x v="364"/>
    <x v="0"/>
    <x v="6"/>
    <x v="0"/>
    <n v="12"/>
    <n v="5869"/>
    <n v="70428"/>
  </r>
  <r>
    <n v="366"/>
    <s v="ODR_BC_184"/>
    <x v="365"/>
    <x v="0"/>
    <x v="3"/>
    <x v="0"/>
    <n v="2"/>
    <n v="6014"/>
    <n v="12028"/>
  </r>
  <r>
    <n v="367"/>
    <s v="ODR_CD_185"/>
    <x v="366"/>
    <x v="3"/>
    <x v="6"/>
    <x v="2"/>
    <n v="2"/>
    <n v="15103"/>
    <n v="30206"/>
  </r>
  <r>
    <n v="368"/>
    <s v="ODR_BC_185"/>
    <x v="367"/>
    <x v="3"/>
    <x v="6"/>
    <x v="4"/>
    <n v="9"/>
    <n v="38458"/>
    <n v="346122"/>
  </r>
  <r>
    <n v="369"/>
    <s v="ODR_CD_186"/>
    <x v="368"/>
    <x v="0"/>
    <x v="6"/>
    <x v="1"/>
    <n v="1"/>
    <n v="28248"/>
    <n v="28248"/>
  </r>
  <r>
    <n v="370"/>
    <s v="ODR_BC_186"/>
    <x v="369"/>
    <x v="0"/>
    <x v="6"/>
    <x v="0"/>
    <n v="8"/>
    <n v="48516"/>
    <n v="388128"/>
  </r>
  <r>
    <n v="371"/>
    <s v="ODR_CD_187"/>
    <x v="370"/>
    <x v="1"/>
    <x v="1"/>
    <x v="2"/>
    <n v="6"/>
    <n v="34061"/>
    <n v="204366"/>
  </r>
  <r>
    <n v="372"/>
    <s v="ODR_BC_187"/>
    <x v="371"/>
    <x v="1"/>
    <x v="1"/>
    <x v="6"/>
    <n v="6"/>
    <n v="29170"/>
    <n v="175020"/>
  </r>
  <r>
    <n v="373"/>
    <s v="ODR_CD_188"/>
    <x v="372"/>
    <x v="3"/>
    <x v="5"/>
    <x v="3"/>
    <n v="18"/>
    <n v="13024"/>
    <n v="234432"/>
  </r>
  <r>
    <n v="374"/>
    <s v="ODR_BC_188"/>
    <x v="373"/>
    <x v="1"/>
    <x v="0"/>
    <x v="1"/>
    <n v="17"/>
    <n v="48803"/>
    <n v="829651"/>
  </r>
  <r>
    <n v="375"/>
    <s v="ODR_CD_189"/>
    <x v="374"/>
    <x v="2"/>
    <x v="6"/>
    <x v="0"/>
    <n v="12"/>
    <n v="24296"/>
    <n v="291552"/>
  </r>
  <r>
    <n v="376"/>
    <s v="ODR_BC_189"/>
    <x v="375"/>
    <x v="1"/>
    <x v="5"/>
    <x v="4"/>
    <n v="6"/>
    <n v="23257"/>
    <n v="139542"/>
  </r>
  <r>
    <n v="377"/>
    <s v="ODR_CD_190"/>
    <x v="376"/>
    <x v="1"/>
    <x v="0"/>
    <x v="2"/>
    <n v="8"/>
    <n v="17855"/>
    <n v="142840"/>
  </r>
  <r>
    <n v="378"/>
    <s v="ODR_BC_190"/>
    <x v="377"/>
    <x v="2"/>
    <x v="3"/>
    <x v="0"/>
    <n v="19"/>
    <n v="25025"/>
    <n v="475475"/>
  </r>
  <r>
    <n v="379"/>
    <s v="ODR_CD_191"/>
    <x v="378"/>
    <x v="3"/>
    <x v="1"/>
    <x v="4"/>
    <n v="10"/>
    <n v="9458"/>
    <n v="94580"/>
  </r>
  <r>
    <n v="380"/>
    <s v="ODR_BC_191"/>
    <x v="379"/>
    <x v="2"/>
    <x v="0"/>
    <x v="0"/>
    <n v="1"/>
    <n v="68610"/>
    <n v="68610"/>
  </r>
  <r>
    <n v="381"/>
    <s v="ODR_CD_192"/>
    <x v="380"/>
    <x v="1"/>
    <x v="3"/>
    <x v="1"/>
    <n v="13"/>
    <n v="54831"/>
    <n v="712803"/>
  </r>
  <r>
    <n v="382"/>
    <s v="ODR_BC_192"/>
    <x v="381"/>
    <x v="3"/>
    <x v="0"/>
    <x v="1"/>
    <n v="17"/>
    <n v="48427"/>
    <n v="823259"/>
  </r>
  <r>
    <n v="383"/>
    <s v="ODR_CD_193"/>
    <x v="382"/>
    <x v="1"/>
    <x v="1"/>
    <x v="1"/>
    <n v="3"/>
    <n v="43506"/>
    <n v="130518"/>
  </r>
  <r>
    <n v="384"/>
    <s v="ODR_BC_193"/>
    <x v="383"/>
    <x v="2"/>
    <x v="1"/>
    <x v="6"/>
    <n v="8"/>
    <n v="10668"/>
    <n v="85344"/>
  </r>
  <r>
    <n v="385"/>
    <s v="ODR_CD_194"/>
    <x v="384"/>
    <x v="2"/>
    <x v="5"/>
    <x v="6"/>
    <n v="14"/>
    <n v="52195"/>
    <n v="730730"/>
  </r>
  <r>
    <n v="386"/>
    <s v="ODR_BC_194"/>
    <x v="385"/>
    <x v="1"/>
    <x v="6"/>
    <x v="2"/>
    <n v="3"/>
    <n v="29417"/>
    <n v="88251"/>
  </r>
  <r>
    <n v="387"/>
    <s v="ODR_CD_195"/>
    <x v="386"/>
    <x v="0"/>
    <x v="0"/>
    <x v="1"/>
    <n v="16"/>
    <n v="15751"/>
    <n v="252016"/>
  </r>
  <r>
    <n v="388"/>
    <s v="ODR_BC_195"/>
    <x v="387"/>
    <x v="0"/>
    <x v="0"/>
    <x v="4"/>
    <n v="13"/>
    <n v="51218"/>
    <n v="665834"/>
  </r>
  <r>
    <n v="389"/>
    <s v="ODR_CD_196"/>
    <x v="388"/>
    <x v="2"/>
    <x v="3"/>
    <x v="0"/>
    <n v="17"/>
    <n v="12352"/>
    <n v="209984"/>
  </r>
  <r>
    <n v="390"/>
    <s v="ODR_BC_196"/>
    <x v="389"/>
    <x v="2"/>
    <x v="1"/>
    <x v="3"/>
    <n v="13"/>
    <n v="33927"/>
    <n v="441051"/>
  </r>
  <r>
    <n v="391"/>
    <s v="ODR_CD_197"/>
    <x v="390"/>
    <x v="0"/>
    <x v="0"/>
    <x v="4"/>
    <n v="6"/>
    <n v="46094"/>
    <n v="276564"/>
  </r>
  <r>
    <n v="392"/>
    <s v="ODR_BC_197"/>
    <x v="391"/>
    <x v="0"/>
    <x v="1"/>
    <x v="6"/>
    <n v="17"/>
    <n v="59122"/>
    <n v="1005074"/>
  </r>
  <r>
    <n v="393"/>
    <s v="ODR_CD_198"/>
    <x v="392"/>
    <x v="1"/>
    <x v="0"/>
    <x v="6"/>
    <n v="14"/>
    <n v="34493"/>
    <n v="482902"/>
  </r>
  <r>
    <n v="394"/>
    <s v="ODR_BC_198"/>
    <x v="393"/>
    <x v="1"/>
    <x v="5"/>
    <x v="4"/>
    <n v="17"/>
    <n v="36707"/>
    <n v="624019"/>
  </r>
  <r>
    <n v="395"/>
    <s v="ODR_CD_199"/>
    <x v="394"/>
    <x v="0"/>
    <x v="6"/>
    <x v="6"/>
    <n v="8"/>
    <n v="73814"/>
    <n v="590512"/>
  </r>
  <r>
    <n v="396"/>
    <s v="ODR_BC_199"/>
    <x v="395"/>
    <x v="1"/>
    <x v="0"/>
    <x v="1"/>
    <n v="11"/>
    <n v="12296"/>
    <n v="135256"/>
  </r>
  <r>
    <n v="397"/>
    <s v="ODR_CD_200"/>
    <x v="396"/>
    <x v="1"/>
    <x v="1"/>
    <x v="2"/>
    <n v="1"/>
    <n v="30398"/>
    <n v="30398"/>
  </r>
  <r>
    <n v="398"/>
    <s v="ODR_BC_200"/>
    <x v="397"/>
    <x v="3"/>
    <x v="5"/>
    <x v="0"/>
    <n v="7"/>
    <n v="40842"/>
    <n v="285894"/>
  </r>
  <r>
    <n v="399"/>
    <s v="ODR_CD_201"/>
    <x v="398"/>
    <x v="1"/>
    <x v="0"/>
    <x v="2"/>
    <n v="17"/>
    <n v="18261"/>
    <n v="310437"/>
  </r>
  <r>
    <n v="400"/>
    <s v="ODR_BC_201"/>
    <x v="399"/>
    <x v="2"/>
    <x v="3"/>
    <x v="0"/>
    <n v="10"/>
    <n v="61704"/>
    <n v="617040"/>
  </r>
  <r>
    <n v="401"/>
    <s v="ODR_CD_202"/>
    <x v="400"/>
    <x v="1"/>
    <x v="6"/>
    <x v="0"/>
    <n v="11"/>
    <n v="72173"/>
    <n v="793903"/>
  </r>
  <r>
    <n v="402"/>
    <s v="ODR_BC_202"/>
    <x v="401"/>
    <x v="1"/>
    <x v="0"/>
    <x v="2"/>
    <n v="9"/>
    <n v="36781"/>
    <n v="331029"/>
  </r>
  <r>
    <n v="403"/>
    <s v="ODR_CD_203"/>
    <x v="402"/>
    <x v="0"/>
    <x v="5"/>
    <x v="4"/>
    <n v="9"/>
    <n v="18652"/>
    <n v="167868"/>
  </r>
  <r>
    <n v="404"/>
    <s v="ODR_BC_203"/>
    <x v="403"/>
    <x v="2"/>
    <x v="3"/>
    <x v="0"/>
    <n v="5"/>
    <n v="10103"/>
    <n v="50515"/>
  </r>
  <r>
    <n v="405"/>
    <s v="ODR_CD_204"/>
    <x v="404"/>
    <x v="1"/>
    <x v="5"/>
    <x v="2"/>
    <n v="17"/>
    <n v="30500"/>
    <n v="518500"/>
  </r>
  <r>
    <n v="406"/>
    <s v="ODR_BC_204"/>
    <x v="405"/>
    <x v="1"/>
    <x v="5"/>
    <x v="0"/>
    <n v="9"/>
    <n v="40529"/>
    <n v="364761"/>
  </r>
  <r>
    <n v="407"/>
    <s v="ODR_CD_205"/>
    <x v="406"/>
    <x v="3"/>
    <x v="3"/>
    <x v="3"/>
    <n v="17"/>
    <n v="23452"/>
    <n v="398684"/>
  </r>
  <r>
    <n v="408"/>
    <s v="ODR_BC_205"/>
    <x v="407"/>
    <x v="1"/>
    <x v="5"/>
    <x v="4"/>
    <n v="19"/>
    <n v="54393"/>
    <n v="1033467"/>
  </r>
  <r>
    <n v="409"/>
    <s v="ODR_CD_206"/>
    <x v="408"/>
    <x v="1"/>
    <x v="3"/>
    <x v="1"/>
    <n v="7"/>
    <n v="36174"/>
    <n v="253218"/>
  </r>
  <r>
    <n v="410"/>
    <s v="ODR_BC_206"/>
    <x v="409"/>
    <x v="3"/>
    <x v="0"/>
    <x v="0"/>
    <n v="9"/>
    <n v="69450"/>
    <n v="625050"/>
  </r>
  <r>
    <n v="411"/>
    <s v="ODR_CD_207"/>
    <x v="410"/>
    <x v="0"/>
    <x v="3"/>
    <x v="3"/>
    <n v="7"/>
    <n v="40436"/>
    <n v="283052"/>
  </r>
  <r>
    <n v="412"/>
    <s v="ODR_BC_207"/>
    <x v="411"/>
    <x v="1"/>
    <x v="3"/>
    <x v="1"/>
    <n v="13"/>
    <n v="52406"/>
    <n v="681278"/>
  </r>
  <r>
    <n v="413"/>
    <s v="ODR_CD_208"/>
    <x v="412"/>
    <x v="3"/>
    <x v="2"/>
    <x v="1"/>
    <n v="11"/>
    <n v="68059"/>
    <n v="748649"/>
  </r>
  <r>
    <n v="414"/>
    <s v="ODR_BC_208"/>
    <x v="413"/>
    <x v="2"/>
    <x v="3"/>
    <x v="0"/>
    <n v="14"/>
    <n v="20954"/>
    <n v="293356"/>
  </r>
  <r>
    <n v="415"/>
    <s v="ODR_CD_209"/>
    <x v="414"/>
    <x v="0"/>
    <x v="3"/>
    <x v="2"/>
    <n v="19"/>
    <n v="17356"/>
    <n v="329764"/>
  </r>
  <r>
    <n v="416"/>
    <s v="ODR_BC_209"/>
    <x v="415"/>
    <x v="2"/>
    <x v="0"/>
    <x v="0"/>
    <n v="11"/>
    <n v="7187"/>
    <n v="79057"/>
  </r>
  <r>
    <n v="417"/>
    <s v="ODR_CD_210"/>
    <x v="416"/>
    <x v="2"/>
    <x v="2"/>
    <x v="3"/>
    <n v="13"/>
    <n v="40098"/>
    <n v="521274"/>
  </r>
  <r>
    <n v="418"/>
    <s v="ODR_BC_210"/>
    <x v="417"/>
    <x v="3"/>
    <x v="1"/>
    <x v="1"/>
    <n v="14"/>
    <n v="26225"/>
    <n v="367150"/>
  </r>
  <r>
    <n v="419"/>
    <s v="ODR_CD_211"/>
    <x v="418"/>
    <x v="1"/>
    <x v="0"/>
    <x v="0"/>
    <n v="13"/>
    <n v="8606"/>
    <n v="111878"/>
  </r>
  <r>
    <n v="420"/>
    <s v="ODR_BC_211"/>
    <x v="419"/>
    <x v="3"/>
    <x v="0"/>
    <x v="7"/>
    <n v="1"/>
    <n v="62620"/>
    <n v="62620"/>
  </r>
  <r>
    <n v="421"/>
    <s v="ODR_CD_212"/>
    <x v="420"/>
    <x v="3"/>
    <x v="1"/>
    <x v="8"/>
    <n v="8"/>
    <n v="37828"/>
    <n v="302624"/>
  </r>
  <r>
    <n v="422"/>
    <s v="ODR_BC_212"/>
    <x v="421"/>
    <x v="3"/>
    <x v="3"/>
    <x v="9"/>
    <n v="12"/>
    <n v="31489"/>
    <n v="377868"/>
  </r>
  <r>
    <n v="423"/>
    <s v="ODR_CD_213"/>
    <x v="422"/>
    <x v="3"/>
    <x v="5"/>
    <x v="7"/>
    <n v="19"/>
    <n v="19387"/>
    <n v="368353"/>
  </r>
  <r>
    <n v="424"/>
    <s v="ODR_BC_213"/>
    <x v="423"/>
    <x v="0"/>
    <x v="2"/>
    <x v="3"/>
    <n v="12"/>
    <n v="74463"/>
    <n v="893556"/>
  </r>
  <r>
    <n v="425"/>
    <s v="ODR_CD_214"/>
    <x v="424"/>
    <x v="1"/>
    <x v="5"/>
    <x v="1"/>
    <n v="8"/>
    <n v="7591"/>
    <n v="60728"/>
  </r>
  <r>
    <n v="426"/>
    <s v="ODR_BC_214"/>
    <x v="425"/>
    <x v="2"/>
    <x v="1"/>
    <x v="8"/>
    <n v="8"/>
    <n v="53516"/>
    <n v="428128"/>
  </r>
  <r>
    <n v="427"/>
    <s v="ODR_CD_215"/>
    <x v="426"/>
    <x v="2"/>
    <x v="0"/>
    <x v="7"/>
    <n v="13"/>
    <n v="67061"/>
    <n v="871793"/>
  </r>
  <r>
    <n v="428"/>
    <s v="ODR_BC_215"/>
    <x v="427"/>
    <x v="1"/>
    <x v="0"/>
    <x v="9"/>
    <n v="12"/>
    <n v="71736"/>
    <n v="860832"/>
  </r>
  <r>
    <n v="429"/>
    <s v="ODR_CD_216"/>
    <x v="428"/>
    <x v="2"/>
    <x v="2"/>
    <x v="7"/>
    <n v="16"/>
    <n v="66753"/>
    <n v="1068048"/>
  </r>
  <r>
    <n v="430"/>
    <s v="ODR_BC_216"/>
    <x v="429"/>
    <x v="1"/>
    <x v="0"/>
    <x v="6"/>
    <n v="1"/>
    <n v="16087"/>
    <n v="16087"/>
  </r>
  <r>
    <n v="431"/>
    <s v="ODR_CD_217"/>
    <x v="430"/>
    <x v="2"/>
    <x v="0"/>
    <x v="9"/>
    <n v="13"/>
    <n v="35816"/>
    <n v="465608"/>
  </r>
  <r>
    <n v="432"/>
    <s v="ODR_BC_217"/>
    <x v="431"/>
    <x v="3"/>
    <x v="2"/>
    <x v="3"/>
    <n v="7"/>
    <n v="28408"/>
    <n v="198856"/>
  </r>
  <r>
    <n v="433"/>
    <s v="ODR_CD_218"/>
    <x v="432"/>
    <x v="2"/>
    <x v="2"/>
    <x v="1"/>
    <n v="5"/>
    <n v="5136"/>
    <n v="25680"/>
  </r>
  <r>
    <n v="434"/>
    <s v="ODR_BC_218"/>
    <x v="433"/>
    <x v="1"/>
    <x v="1"/>
    <x v="3"/>
    <n v="8"/>
    <n v="22413"/>
    <n v="179304"/>
  </r>
  <r>
    <n v="435"/>
    <s v="ODR_CD_219"/>
    <x v="434"/>
    <x v="1"/>
    <x v="0"/>
    <x v="8"/>
    <n v="14"/>
    <n v="64500"/>
    <n v="903000"/>
  </r>
  <r>
    <n v="436"/>
    <s v="ODR_BC_219"/>
    <x v="435"/>
    <x v="1"/>
    <x v="0"/>
    <x v="7"/>
    <n v="13"/>
    <n v="61358"/>
    <n v="797654"/>
  </r>
  <r>
    <n v="437"/>
    <s v="ODR_CD_220"/>
    <x v="436"/>
    <x v="1"/>
    <x v="5"/>
    <x v="6"/>
    <n v="15"/>
    <n v="71197"/>
    <n v="1067955"/>
  </r>
  <r>
    <n v="438"/>
    <s v="ODR_BC_220"/>
    <x v="437"/>
    <x v="1"/>
    <x v="3"/>
    <x v="9"/>
    <n v="17"/>
    <n v="37854"/>
    <n v="643518"/>
  </r>
  <r>
    <n v="439"/>
    <s v="ODR_CD_221"/>
    <x v="438"/>
    <x v="0"/>
    <x v="3"/>
    <x v="9"/>
    <n v="15"/>
    <n v="21322"/>
    <n v="319830"/>
  </r>
  <r>
    <n v="440"/>
    <s v="ODR_BC_221"/>
    <x v="439"/>
    <x v="0"/>
    <x v="3"/>
    <x v="7"/>
    <n v="18"/>
    <n v="11968"/>
    <n v="215424"/>
  </r>
  <r>
    <n v="441"/>
    <s v="ODR_CD_222"/>
    <x v="440"/>
    <x v="2"/>
    <x v="5"/>
    <x v="6"/>
    <n v="18"/>
    <n v="32518"/>
    <n v="585324"/>
  </r>
  <r>
    <n v="442"/>
    <s v="ODR_BC_222"/>
    <x v="441"/>
    <x v="1"/>
    <x v="0"/>
    <x v="7"/>
    <n v="2"/>
    <n v="56925"/>
    <n v="113850"/>
  </r>
  <r>
    <n v="443"/>
    <s v="ODR_CD_223"/>
    <x v="442"/>
    <x v="2"/>
    <x v="5"/>
    <x v="8"/>
    <n v="4"/>
    <n v="64848"/>
    <n v="259392"/>
  </r>
  <r>
    <n v="444"/>
    <s v="ODR_BC_223"/>
    <x v="443"/>
    <x v="1"/>
    <x v="5"/>
    <x v="3"/>
    <n v="1"/>
    <n v="6700"/>
    <n v="6700"/>
  </r>
  <r>
    <n v="445"/>
    <s v="ODR_CD_224"/>
    <x v="444"/>
    <x v="1"/>
    <x v="3"/>
    <x v="9"/>
    <n v="4"/>
    <n v="28199"/>
    <n v="112796"/>
  </r>
  <r>
    <n v="446"/>
    <s v="ODR_BC_224"/>
    <x v="445"/>
    <x v="0"/>
    <x v="5"/>
    <x v="8"/>
    <n v="18"/>
    <n v="49589"/>
    <n v="892602"/>
  </r>
  <r>
    <n v="447"/>
    <s v="ODR_CD_225"/>
    <x v="446"/>
    <x v="0"/>
    <x v="0"/>
    <x v="3"/>
    <n v="5"/>
    <n v="37115"/>
    <n v="185575"/>
  </r>
  <r>
    <n v="448"/>
    <s v="ODR_BC_225"/>
    <x v="447"/>
    <x v="3"/>
    <x v="3"/>
    <x v="8"/>
    <n v="19"/>
    <n v="66934"/>
    <n v="1271746"/>
  </r>
  <r>
    <n v="449"/>
    <s v="ODR_CD_226"/>
    <x v="448"/>
    <x v="0"/>
    <x v="5"/>
    <x v="6"/>
    <n v="15"/>
    <n v="59316"/>
    <n v="889740"/>
  </r>
  <r>
    <n v="450"/>
    <s v="ODR_BC_226"/>
    <x v="449"/>
    <x v="3"/>
    <x v="5"/>
    <x v="9"/>
    <n v="8"/>
    <n v="10520"/>
    <n v="84160"/>
  </r>
  <r>
    <n v="451"/>
    <s v="ODR_CD_227"/>
    <x v="450"/>
    <x v="3"/>
    <x v="2"/>
    <x v="7"/>
    <n v="17"/>
    <n v="41455"/>
    <n v="704735"/>
  </r>
  <r>
    <n v="452"/>
    <s v="ODR_BC_227"/>
    <x v="451"/>
    <x v="3"/>
    <x v="0"/>
    <x v="7"/>
    <n v="1"/>
    <n v="46605"/>
    <n v="46605"/>
  </r>
  <r>
    <n v="453"/>
    <s v="ODR_CD_228"/>
    <x v="452"/>
    <x v="3"/>
    <x v="4"/>
    <x v="3"/>
    <n v="12"/>
    <n v="19955"/>
    <n v="239460"/>
  </r>
  <r>
    <n v="454"/>
    <s v="ODR_BC_228"/>
    <x v="453"/>
    <x v="3"/>
    <x v="3"/>
    <x v="1"/>
    <n v="19"/>
    <n v="49049"/>
    <n v="931931"/>
  </r>
  <r>
    <n v="455"/>
    <s v="ODR_CD_229"/>
    <x v="454"/>
    <x v="2"/>
    <x v="2"/>
    <x v="6"/>
    <n v="15"/>
    <n v="18917"/>
    <n v="283755"/>
  </r>
  <r>
    <n v="456"/>
    <s v="ODR_BC_229"/>
    <x v="455"/>
    <x v="0"/>
    <x v="0"/>
    <x v="3"/>
    <n v="9"/>
    <n v="69925"/>
    <n v="629325"/>
  </r>
  <r>
    <n v="457"/>
    <s v="ODR_CD_230"/>
    <x v="456"/>
    <x v="3"/>
    <x v="5"/>
    <x v="1"/>
    <n v="7"/>
    <n v="35954"/>
    <n v="251678"/>
  </r>
  <r>
    <n v="458"/>
    <s v="ODR_BC_230"/>
    <x v="457"/>
    <x v="1"/>
    <x v="3"/>
    <x v="8"/>
    <n v="2"/>
    <n v="46458"/>
    <n v="92916"/>
  </r>
  <r>
    <n v="459"/>
    <s v="ODR_CD_231"/>
    <x v="458"/>
    <x v="0"/>
    <x v="4"/>
    <x v="6"/>
    <n v="9"/>
    <n v="26113"/>
    <n v="235017"/>
  </r>
  <r>
    <n v="460"/>
    <s v="ODR_BC_231"/>
    <x v="459"/>
    <x v="0"/>
    <x v="4"/>
    <x v="8"/>
    <n v="10"/>
    <n v="48939"/>
    <n v="489390"/>
  </r>
  <r>
    <n v="461"/>
    <s v="ODR_CD_232"/>
    <x v="460"/>
    <x v="3"/>
    <x v="3"/>
    <x v="9"/>
    <n v="2"/>
    <n v="34345"/>
    <n v="68690"/>
  </r>
  <r>
    <n v="462"/>
    <s v="ODR_BC_232"/>
    <x v="461"/>
    <x v="2"/>
    <x v="4"/>
    <x v="6"/>
    <n v="19"/>
    <n v="51313"/>
    <n v="974947"/>
  </r>
  <r>
    <n v="463"/>
    <s v="ODR_CD_233"/>
    <x v="462"/>
    <x v="3"/>
    <x v="2"/>
    <x v="1"/>
    <n v="11"/>
    <n v="74166"/>
    <n v="815826"/>
  </r>
  <r>
    <n v="464"/>
    <s v="ODR_BC_233"/>
    <x v="463"/>
    <x v="2"/>
    <x v="0"/>
    <x v="9"/>
    <n v="13"/>
    <n v="52861"/>
    <n v="687193"/>
  </r>
  <r>
    <n v="465"/>
    <s v="ODR_CD_234"/>
    <x v="464"/>
    <x v="1"/>
    <x v="2"/>
    <x v="7"/>
    <n v="10"/>
    <n v="54298"/>
    <n v="542980"/>
  </r>
  <r>
    <n v="466"/>
    <s v="ODR_BC_234"/>
    <x v="465"/>
    <x v="0"/>
    <x v="4"/>
    <x v="10"/>
    <n v="14"/>
    <n v="52221"/>
    <n v="731094"/>
  </r>
  <r>
    <n v="467"/>
    <s v="ODR_CD_235"/>
    <x v="466"/>
    <x v="1"/>
    <x v="5"/>
    <x v="3"/>
    <n v="18"/>
    <n v="49942"/>
    <n v="898956"/>
  </r>
  <r>
    <n v="468"/>
    <s v="ODR_BC_235"/>
    <x v="467"/>
    <x v="2"/>
    <x v="0"/>
    <x v="7"/>
    <n v="19"/>
    <n v="8453"/>
    <n v="160607"/>
  </r>
  <r>
    <n v="469"/>
    <s v="ODR_CD_236"/>
    <x v="468"/>
    <x v="2"/>
    <x v="0"/>
    <x v="7"/>
    <n v="9"/>
    <n v="59935"/>
    <n v="539415"/>
  </r>
  <r>
    <n v="470"/>
    <s v="ODR_BC_236"/>
    <x v="469"/>
    <x v="1"/>
    <x v="3"/>
    <x v="3"/>
    <n v="7"/>
    <n v="48370"/>
    <n v="338590"/>
  </r>
  <r>
    <n v="471"/>
    <s v="ODR_CD_237"/>
    <x v="470"/>
    <x v="2"/>
    <x v="3"/>
    <x v="6"/>
    <n v="3"/>
    <n v="13328"/>
    <n v="39984"/>
  </r>
  <r>
    <n v="472"/>
    <s v="ODR_BC_237"/>
    <x v="471"/>
    <x v="1"/>
    <x v="5"/>
    <x v="7"/>
    <n v="6"/>
    <n v="20534"/>
    <n v="123204"/>
  </r>
  <r>
    <n v="473"/>
    <s v="ODR_CD_238"/>
    <x v="472"/>
    <x v="0"/>
    <x v="0"/>
    <x v="10"/>
    <n v="2"/>
    <n v="41320"/>
    <n v="82640"/>
  </r>
  <r>
    <n v="474"/>
    <s v="ODR_BC_238"/>
    <x v="473"/>
    <x v="1"/>
    <x v="5"/>
    <x v="9"/>
    <n v="6"/>
    <n v="54170"/>
    <n v="325020"/>
  </r>
  <r>
    <n v="475"/>
    <s v="ODR_CD_239"/>
    <x v="474"/>
    <x v="0"/>
    <x v="3"/>
    <x v="7"/>
    <n v="3"/>
    <n v="13640"/>
    <n v="40920"/>
  </r>
  <r>
    <n v="476"/>
    <s v="ODR_BC_239"/>
    <x v="475"/>
    <x v="1"/>
    <x v="3"/>
    <x v="10"/>
    <n v="16"/>
    <n v="35049"/>
    <n v="560784"/>
  </r>
  <r>
    <n v="477"/>
    <s v="ODR_CD_240"/>
    <x v="476"/>
    <x v="2"/>
    <x v="0"/>
    <x v="8"/>
    <n v="8"/>
    <n v="10618"/>
    <n v="84944"/>
  </r>
  <r>
    <n v="478"/>
    <s v="ODR_BC_240"/>
    <x v="477"/>
    <x v="1"/>
    <x v="2"/>
    <x v="10"/>
    <n v="2"/>
    <n v="61053"/>
    <n v="122106"/>
  </r>
  <r>
    <n v="479"/>
    <s v="ODR_CD_241"/>
    <x v="478"/>
    <x v="2"/>
    <x v="4"/>
    <x v="9"/>
    <n v="17"/>
    <n v="6920"/>
    <n v="117640"/>
  </r>
  <r>
    <n v="480"/>
    <s v="ODR_BC_241"/>
    <x v="479"/>
    <x v="1"/>
    <x v="3"/>
    <x v="10"/>
    <n v="9"/>
    <n v="48937"/>
    <n v="440433"/>
  </r>
  <r>
    <n v="481"/>
    <s v="ODR_CD_242"/>
    <x v="480"/>
    <x v="1"/>
    <x v="3"/>
    <x v="3"/>
    <n v="12"/>
    <n v="74724"/>
    <n v="896688"/>
  </r>
  <r>
    <n v="482"/>
    <s v="ODR_BC_242"/>
    <x v="481"/>
    <x v="3"/>
    <x v="2"/>
    <x v="9"/>
    <n v="3"/>
    <n v="17207"/>
    <n v="51621"/>
  </r>
  <r>
    <n v="483"/>
    <s v="ODR_CD_243"/>
    <x v="482"/>
    <x v="2"/>
    <x v="2"/>
    <x v="6"/>
    <n v="11"/>
    <n v="70774"/>
    <n v="778514"/>
  </r>
  <r>
    <n v="484"/>
    <s v="ODR_BC_243"/>
    <x v="483"/>
    <x v="3"/>
    <x v="5"/>
    <x v="8"/>
    <n v="1"/>
    <n v="37972"/>
    <n v="37972"/>
  </r>
  <r>
    <n v="485"/>
    <s v="ODR_CD_244"/>
    <x v="484"/>
    <x v="2"/>
    <x v="5"/>
    <x v="3"/>
    <n v="13"/>
    <n v="15799"/>
    <n v="205387"/>
  </r>
  <r>
    <n v="486"/>
    <s v="ODR_BC_244"/>
    <x v="485"/>
    <x v="3"/>
    <x v="4"/>
    <x v="6"/>
    <n v="15"/>
    <n v="33916"/>
    <n v="508740"/>
  </r>
  <r>
    <n v="487"/>
    <s v="ODR_CD_245"/>
    <x v="486"/>
    <x v="0"/>
    <x v="4"/>
    <x v="10"/>
    <n v="5"/>
    <n v="42158"/>
    <n v="210790"/>
  </r>
  <r>
    <n v="488"/>
    <s v="ODR_BC_245"/>
    <x v="487"/>
    <x v="1"/>
    <x v="0"/>
    <x v="9"/>
    <n v="17"/>
    <n v="66510"/>
    <n v="1130670"/>
  </r>
  <r>
    <n v="489"/>
    <s v="ODR_CD_246"/>
    <x v="488"/>
    <x v="2"/>
    <x v="5"/>
    <x v="8"/>
    <n v="6"/>
    <n v="63692"/>
    <n v="382152"/>
  </r>
  <r>
    <n v="490"/>
    <s v="ODR_BC_246"/>
    <x v="489"/>
    <x v="2"/>
    <x v="3"/>
    <x v="3"/>
    <n v="11"/>
    <n v="66744"/>
    <n v="734184"/>
  </r>
  <r>
    <n v="491"/>
    <s v="ODR_CD_247"/>
    <x v="490"/>
    <x v="1"/>
    <x v="5"/>
    <x v="6"/>
    <n v="18"/>
    <n v="20810"/>
    <n v="374580"/>
  </r>
  <r>
    <n v="492"/>
    <s v="ODR_BC_247"/>
    <x v="491"/>
    <x v="2"/>
    <x v="3"/>
    <x v="6"/>
    <n v="4"/>
    <n v="10126"/>
    <n v="40504"/>
  </r>
  <r>
    <n v="493"/>
    <s v="ODR_CD_248"/>
    <x v="492"/>
    <x v="2"/>
    <x v="2"/>
    <x v="8"/>
    <n v="3"/>
    <n v="35009"/>
    <n v="105027"/>
  </r>
  <r>
    <n v="494"/>
    <s v="ODR_BC_248"/>
    <x v="493"/>
    <x v="3"/>
    <x v="5"/>
    <x v="10"/>
    <n v="13"/>
    <n v="5192"/>
    <n v="67496"/>
  </r>
  <r>
    <n v="495"/>
    <s v="ODR_CD_249"/>
    <x v="494"/>
    <x v="2"/>
    <x v="2"/>
    <x v="8"/>
    <n v="9"/>
    <n v="41413"/>
    <n v="372717"/>
  </r>
  <r>
    <n v="496"/>
    <s v="ODR_BC_249"/>
    <x v="495"/>
    <x v="0"/>
    <x v="4"/>
    <x v="6"/>
    <n v="6"/>
    <n v="17816"/>
    <n v="106896"/>
  </r>
  <r>
    <n v="497"/>
    <s v="ODR_CD_250"/>
    <x v="496"/>
    <x v="0"/>
    <x v="4"/>
    <x v="7"/>
    <n v="12"/>
    <n v="44082"/>
    <n v="528984"/>
  </r>
  <r>
    <n v="498"/>
    <s v="ODR_BC_250"/>
    <x v="497"/>
    <x v="1"/>
    <x v="0"/>
    <x v="3"/>
    <n v="2"/>
    <n v="70048"/>
    <n v="140096"/>
  </r>
  <r>
    <n v="499"/>
    <s v="ODR_CD_251"/>
    <x v="498"/>
    <x v="2"/>
    <x v="5"/>
    <x v="8"/>
    <n v="3"/>
    <n v="55940"/>
    <n v="167820"/>
  </r>
  <r>
    <n v="500"/>
    <s v="ODR_BC_251"/>
    <x v="499"/>
    <x v="1"/>
    <x v="2"/>
    <x v="6"/>
    <n v="3"/>
    <n v="37130"/>
    <n v="111390"/>
  </r>
  <r>
    <n v="501"/>
    <s v="ODR_CD_252"/>
    <x v="500"/>
    <x v="0"/>
    <x v="3"/>
    <x v="10"/>
    <n v="12"/>
    <n v="45142"/>
    <n v="541704"/>
  </r>
  <r>
    <n v="502"/>
    <s v="ODR_BC_252"/>
    <x v="501"/>
    <x v="2"/>
    <x v="4"/>
    <x v="6"/>
    <n v="15"/>
    <n v="41468"/>
    <n v="622020"/>
  </r>
  <r>
    <n v="503"/>
    <s v="ODR_CD_253"/>
    <x v="502"/>
    <x v="2"/>
    <x v="4"/>
    <x v="10"/>
    <n v="9"/>
    <n v="35698"/>
    <n v="321282"/>
  </r>
  <r>
    <n v="504"/>
    <s v="ODR_BC_253"/>
    <x v="503"/>
    <x v="1"/>
    <x v="3"/>
    <x v="8"/>
    <n v="8"/>
    <n v="15655"/>
    <n v="125240"/>
  </r>
  <r>
    <n v="505"/>
    <s v="ODR_CD_254"/>
    <x v="504"/>
    <x v="0"/>
    <x v="2"/>
    <x v="10"/>
    <n v="11"/>
    <n v="52897"/>
    <n v="581867"/>
  </r>
  <r>
    <n v="506"/>
    <s v="ODR_BC_254"/>
    <x v="505"/>
    <x v="2"/>
    <x v="2"/>
    <x v="9"/>
    <n v="16"/>
    <n v="35075"/>
    <n v="561200"/>
  </r>
  <r>
    <n v="507"/>
    <s v="ODR_CD_255"/>
    <x v="506"/>
    <x v="1"/>
    <x v="5"/>
    <x v="9"/>
    <n v="4"/>
    <n v="14359"/>
    <n v="57436"/>
  </r>
  <r>
    <n v="508"/>
    <s v="ODR_BC_255"/>
    <x v="507"/>
    <x v="0"/>
    <x v="5"/>
    <x v="9"/>
    <n v="1"/>
    <n v="47056"/>
    <n v="47056"/>
  </r>
  <r>
    <n v="509"/>
    <s v="ODR_CD_256"/>
    <x v="508"/>
    <x v="1"/>
    <x v="0"/>
    <x v="7"/>
    <n v="7"/>
    <n v="56831"/>
    <n v="397817"/>
  </r>
  <r>
    <n v="510"/>
    <s v="ODR_BC_256"/>
    <x v="509"/>
    <x v="3"/>
    <x v="4"/>
    <x v="8"/>
    <n v="2"/>
    <n v="64191"/>
    <n v="128382"/>
  </r>
  <r>
    <n v="511"/>
    <s v="ODR_CD_257"/>
    <x v="510"/>
    <x v="2"/>
    <x v="5"/>
    <x v="6"/>
    <n v="5"/>
    <n v="38272"/>
    <n v="191360"/>
  </r>
  <r>
    <n v="512"/>
    <s v="ODR_BC_257"/>
    <x v="511"/>
    <x v="3"/>
    <x v="2"/>
    <x v="6"/>
    <n v="7"/>
    <n v="19671"/>
    <n v="137697"/>
  </r>
  <r>
    <n v="513"/>
    <s v="ODR_CD_258"/>
    <x v="512"/>
    <x v="0"/>
    <x v="3"/>
    <x v="7"/>
    <n v="4"/>
    <n v="32048"/>
    <n v="128192"/>
  </r>
  <r>
    <n v="514"/>
    <s v="ODR_BC_258"/>
    <x v="513"/>
    <x v="3"/>
    <x v="2"/>
    <x v="10"/>
    <n v="5"/>
    <n v="30963"/>
    <n v="154815"/>
  </r>
  <r>
    <n v="515"/>
    <s v="ODR_CD_259"/>
    <x v="514"/>
    <x v="3"/>
    <x v="4"/>
    <x v="7"/>
    <n v="1"/>
    <n v="48954"/>
    <n v="48954"/>
  </r>
  <r>
    <n v="516"/>
    <s v="ODR_BC_259"/>
    <x v="515"/>
    <x v="0"/>
    <x v="2"/>
    <x v="10"/>
    <n v="1"/>
    <n v="5717"/>
    <n v="5717"/>
  </r>
  <r>
    <n v="517"/>
    <s v="ODR_CD_260"/>
    <x v="516"/>
    <x v="1"/>
    <x v="0"/>
    <x v="10"/>
    <n v="15"/>
    <n v="16676"/>
    <n v="250140"/>
  </r>
  <r>
    <n v="518"/>
    <s v="ODR_BC_260"/>
    <x v="517"/>
    <x v="3"/>
    <x v="4"/>
    <x v="3"/>
    <n v="19"/>
    <n v="9434"/>
    <n v="179246"/>
  </r>
  <r>
    <n v="519"/>
    <s v="ODR_CD_261"/>
    <x v="518"/>
    <x v="1"/>
    <x v="3"/>
    <x v="6"/>
    <n v="10"/>
    <n v="54810"/>
    <n v="548100"/>
  </r>
  <r>
    <n v="520"/>
    <s v="ODR_BC_261"/>
    <x v="519"/>
    <x v="3"/>
    <x v="0"/>
    <x v="9"/>
    <n v="18"/>
    <n v="9994"/>
    <n v="179892"/>
  </r>
  <r>
    <n v="521"/>
    <s v="ODR_CD_262"/>
    <x v="520"/>
    <x v="1"/>
    <x v="4"/>
    <x v="10"/>
    <n v="3"/>
    <n v="9234"/>
    <n v="27702"/>
  </r>
  <r>
    <n v="522"/>
    <s v="ODR_BC_262"/>
    <x v="521"/>
    <x v="0"/>
    <x v="3"/>
    <x v="3"/>
    <n v="11"/>
    <n v="74300"/>
    <n v="817300"/>
  </r>
  <r>
    <n v="523"/>
    <s v="ODR_CD_263"/>
    <x v="522"/>
    <x v="3"/>
    <x v="0"/>
    <x v="6"/>
    <n v="15"/>
    <n v="48949"/>
    <n v="734235"/>
  </r>
  <r>
    <n v="524"/>
    <s v="ODR_BC_263"/>
    <x v="523"/>
    <x v="0"/>
    <x v="0"/>
    <x v="9"/>
    <n v="11"/>
    <n v="42405"/>
    <n v="466455"/>
  </r>
  <r>
    <n v="525"/>
    <s v="ODR_CD_264"/>
    <x v="524"/>
    <x v="3"/>
    <x v="4"/>
    <x v="10"/>
    <n v="17"/>
    <n v="39872"/>
    <n v="677824"/>
  </r>
  <r>
    <n v="526"/>
    <s v="ODR_BC_264"/>
    <x v="525"/>
    <x v="0"/>
    <x v="5"/>
    <x v="10"/>
    <n v="17"/>
    <n v="47215"/>
    <n v="802655"/>
  </r>
  <r>
    <n v="527"/>
    <s v="ODR_CD_265"/>
    <x v="526"/>
    <x v="0"/>
    <x v="0"/>
    <x v="7"/>
    <n v="6"/>
    <n v="28185"/>
    <n v="169110"/>
  </r>
  <r>
    <n v="528"/>
    <s v="ODR_BC_265"/>
    <x v="527"/>
    <x v="3"/>
    <x v="0"/>
    <x v="7"/>
    <n v="5"/>
    <n v="48442"/>
    <n v="242210"/>
  </r>
  <r>
    <n v="529"/>
    <s v="ODR_CD_266"/>
    <x v="528"/>
    <x v="3"/>
    <x v="3"/>
    <x v="6"/>
    <n v="8"/>
    <n v="56759"/>
    <n v="454072"/>
  </r>
  <r>
    <n v="530"/>
    <s v="ODR_BC_266"/>
    <x v="529"/>
    <x v="3"/>
    <x v="2"/>
    <x v="9"/>
    <n v="2"/>
    <n v="46153"/>
    <n v="92306"/>
  </r>
  <r>
    <n v="531"/>
    <s v="ODR_CD_267"/>
    <x v="530"/>
    <x v="2"/>
    <x v="4"/>
    <x v="10"/>
    <n v="16"/>
    <n v="7581"/>
    <n v="121296"/>
  </r>
  <r>
    <n v="532"/>
    <s v="ODR_BC_267"/>
    <x v="531"/>
    <x v="1"/>
    <x v="4"/>
    <x v="6"/>
    <n v="12"/>
    <n v="56717"/>
    <n v="680604"/>
  </r>
  <r>
    <n v="533"/>
    <s v="ODR_CD_268"/>
    <x v="532"/>
    <x v="2"/>
    <x v="5"/>
    <x v="6"/>
    <n v="6"/>
    <n v="7763"/>
    <n v="46578"/>
  </r>
  <r>
    <n v="534"/>
    <s v="ODR_BC_268"/>
    <x v="533"/>
    <x v="2"/>
    <x v="5"/>
    <x v="8"/>
    <n v="1"/>
    <n v="60480"/>
    <n v="60480"/>
  </r>
  <r>
    <n v="535"/>
    <s v="ODR_CD_269"/>
    <x v="534"/>
    <x v="0"/>
    <x v="4"/>
    <x v="7"/>
    <n v="4"/>
    <n v="43759"/>
    <n v="175036"/>
  </r>
  <r>
    <n v="536"/>
    <s v="ODR_BC_269"/>
    <x v="535"/>
    <x v="3"/>
    <x v="1"/>
    <x v="9"/>
    <n v="17"/>
    <n v="30307"/>
    <n v="515219"/>
  </r>
  <r>
    <n v="537"/>
    <s v="ODR_CD_270"/>
    <x v="536"/>
    <x v="1"/>
    <x v="3"/>
    <x v="10"/>
    <n v="13"/>
    <n v="16064"/>
    <n v="208832"/>
  </r>
  <r>
    <n v="538"/>
    <s v="ODR_BC_270"/>
    <x v="537"/>
    <x v="0"/>
    <x v="4"/>
    <x v="6"/>
    <n v="18"/>
    <n v="42548"/>
    <n v="765864"/>
  </r>
  <r>
    <n v="539"/>
    <s v="ODR_CD_271"/>
    <x v="538"/>
    <x v="2"/>
    <x v="1"/>
    <x v="10"/>
    <n v="5"/>
    <n v="41945"/>
    <n v="209725"/>
  </r>
  <r>
    <n v="540"/>
    <s v="ODR_BC_271"/>
    <x v="539"/>
    <x v="3"/>
    <x v="4"/>
    <x v="8"/>
    <n v="3"/>
    <n v="52937"/>
    <n v="158811"/>
  </r>
  <r>
    <n v="541"/>
    <s v="ODR_CD_272"/>
    <x v="540"/>
    <x v="0"/>
    <x v="2"/>
    <x v="9"/>
    <n v="11"/>
    <n v="11476"/>
    <n v="126236"/>
  </r>
  <r>
    <n v="542"/>
    <s v="ODR_BC_272"/>
    <x v="541"/>
    <x v="3"/>
    <x v="0"/>
    <x v="6"/>
    <n v="13"/>
    <n v="56756"/>
    <n v="737828"/>
  </r>
  <r>
    <n v="543"/>
    <s v="ODR_CD_273"/>
    <x v="542"/>
    <x v="0"/>
    <x v="4"/>
    <x v="10"/>
    <n v="4"/>
    <n v="7382"/>
    <n v="29528"/>
  </r>
  <r>
    <n v="544"/>
    <s v="ODR_BC_273"/>
    <x v="543"/>
    <x v="3"/>
    <x v="0"/>
    <x v="7"/>
    <n v="14"/>
    <n v="54683"/>
    <n v="765562"/>
  </r>
  <r>
    <n v="545"/>
    <s v="ODR_CD_274"/>
    <x v="544"/>
    <x v="2"/>
    <x v="1"/>
    <x v="8"/>
    <n v="11"/>
    <n v="50276"/>
    <n v="553036"/>
  </r>
  <r>
    <n v="546"/>
    <s v="ODR_BC_274"/>
    <x v="545"/>
    <x v="1"/>
    <x v="0"/>
    <x v="9"/>
    <n v="10"/>
    <n v="38402"/>
    <n v="384020"/>
  </r>
  <r>
    <n v="547"/>
    <s v="ODR_CD_275"/>
    <x v="546"/>
    <x v="2"/>
    <x v="4"/>
    <x v="8"/>
    <n v="19"/>
    <n v="31946"/>
    <n v="606974"/>
  </r>
  <r>
    <n v="548"/>
    <s v="ODR_BC_275"/>
    <x v="547"/>
    <x v="1"/>
    <x v="2"/>
    <x v="7"/>
    <n v="18"/>
    <n v="27335"/>
    <n v="492030"/>
  </r>
  <r>
    <n v="549"/>
    <s v="ODR_CD_276"/>
    <x v="548"/>
    <x v="3"/>
    <x v="1"/>
    <x v="9"/>
    <n v="6"/>
    <n v="50095"/>
    <n v="300570"/>
  </r>
  <r>
    <n v="550"/>
    <s v="ODR_BC_276"/>
    <x v="549"/>
    <x v="0"/>
    <x v="4"/>
    <x v="8"/>
    <n v="15"/>
    <n v="32197"/>
    <n v="482955"/>
  </r>
  <r>
    <n v="551"/>
    <s v="ODR_CD_277"/>
    <x v="550"/>
    <x v="2"/>
    <x v="1"/>
    <x v="3"/>
    <n v="10"/>
    <n v="27010"/>
    <n v="270100"/>
  </r>
  <r>
    <n v="552"/>
    <s v="ODR_BC_277"/>
    <x v="551"/>
    <x v="1"/>
    <x v="3"/>
    <x v="7"/>
    <n v="5"/>
    <n v="29123"/>
    <n v="145615"/>
  </r>
  <r>
    <n v="553"/>
    <s v="ODR_CD_278"/>
    <x v="552"/>
    <x v="2"/>
    <x v="0"/>
    <x v="7"/>
    <n v="5"/>
    <n v="7890"/>
    <n v="39450"/>
  </r>
  <r>
    <n v="554"/>
    <s v="ODR_BC_278"/>
    <x v="553"/>
    <x v="1"/>
    <x v="3"/>
    <x v="7"/>
    <n v="10"/>
    <n v="13026"/>
    <n v="130260"/>
  </r>
  <r>
    <n v="555"/>
    <s v="ODR_CD_279"/>
    <x v="554"/>
    <x v="2"/>
    <x v="4"/>
    <x v="11"/>
    <n v="5"/>
    <n v="69925"/>
    <n v="349625"/>
  </r>
  <r>
    <n v="556"/>
    <s v="ODR_BC_279"/>
    <x v="555"/>
    <x v="1"/>
    <x v="2"/>
    <x v="11"/>
    <n v="3"/>
    <n v="73842"/>
    <n v="221526"/>
  </r>
  <r>
    <n v="557"/>
    <s v="ODR_CD_280"/>
    <x v="556"/>
    <x v="1"/>
    <x v="1"/>
    <x v="10"/>
    <n v="6"/>
    <n v="38665"/>
    <n v="231990"/>
  </r>
  <r>
    <n v="558"/>
    <s v="ODR_BC_280"/>
    <x v="557"/>
    <x v="3"/>
    <x v="0"/>
    <x v="6"/>
    <n v="4"/>
    <n v="14277"/>
    <n v="57108"/>
  </r>
  <r>
    <n v="559"/>
    <s v="ODR_CD_281"/>
    <x v="558"/>
    <x v="1"/>
    <x v="1"/>
    <x v="8"/>
    <n v="18"/>
    <n v="47239"/>
    <n v="850302"/>
  </r>
  <r>
    <n v="560"/>
    <s v="ODR_BC_281"/>
    <x v="559"/>
    <x v="3"/>
    <x v="4"/>
    <x v="10"/>
    <n v="9"/>
    <n v="52664"/>
    <n v="473976"/>
  </r>
  <r>
    <n v="561"/>
    <s v="ODR_CD_282"/>
    <x v="560"/>
    <x v="1"/>
    <x v="1"/>
    <x v="8"/>
    <n v="17"/>
    <n v="53008"/>
    <n v="901136"/>
  </r>
  <r>
    <n v="562"/>
    <s v="ODR_BC_282"/>
    <x v="561"/>
    <x v="0"/>
    <x v="0"/>
    <x v="6"/>
    <n v="13"/>
    <n v="19683"/>
    <n v="255879"/>
  </r>
  <r>
    <n v="563"/>
    <s v="ODR_CD_283"/>
    <x v="562"/>
    <x v="0"/>
    <x v="4"/>
    <x v="11"/>
    <n v="15"/>
    <n v="5670"/>
    <n v="85050"/>
  </r>
  <r>
    <n v="564"/>
    <s v="ODR_BC_283"/>
    <x v="563"/>
    <x v="0"/>
    <x v="1"/>
    <x v="6"/>
    <n v="17"/>
    <n v="22889"/>
    <n v="389113"/>
  </r>
  <r>
    <n v="565"/>
    <s v="ODR_CD_284"/>
    <x v="564"/>
    <x v="1"/>
    <x v="2"/>
    <x v="11"/>
    <n v="13"/>
    <n v="60612"/>
    <n v="787956"/>
  </r>
  <r>
    <n v="566"/>
    <s v="ODR_BC_284"/>
    <x v="565"/>
    <x v="3"/>
    <x v="4"/>
    <x v="6"/>
    <n v="16"/>
    <n v="49535"/>
    <n v="792560"/>
  </r>
  <r>
    <n v="567"/>
    <s v="ODR_CD_285"/>
    <x v="566"/>
    <x v="3"/>
    <x v="4"/>
    <x v="10"/>
    <n v="4"/>
    <n v="59319"/>
    <n v="237276"/>
  </r>
  <r>
    <n v="568"/>
    <s v="ODR_BC_285"/>
    <x v="567"/>
    <x v="1"/>
    <x v="2"/>
    <x v="9"/>
    <n v="5"/>
    <n v="26639"/>
    <n v="133195"/>
  </r>
  <r>
    <n v="569"/>
    <s v="ODR_CD_286"/>
    <x v="568"/>
    <x v="0"/>
    <x v="3"/>
    <x v="10"/>
    <n v="5"/>
    <n v="69712"/>
    <n v="348560"/>
  </r>
  <r>
    <n v="570"/>
    <s v="ODR_BC_286"/>
    <x v="569"/>
    <x v="0"/>
    <x v="0"/>
    <x v="8"/>
    <n v="9"/>
    <n v="21633"/>
    <n v="194697"/>
  </r>
  <r>
    <n v="571"/>
    <s v="ODR_CD_287"/>
    <x v="570"/>
    <x v="3"/>
    <x v="3"/>
    <x v="10"/>
    <n v="17"/>
    <n v="39660"/>
    <n v="674220"/>
  </r>
  <r>
    <n v="572"/>
    <s v="ODR_BC_287"/>
    <x v="571"/>
    <x v="0"/>
    <x v="1"/>
    <x v="7"/>
    <n v="13"/>
    <n v="73975"/>
    <n v="961675"/>
  </r>
  <r>
    <n v="573"/>
    <s v="ODR_CD_288"/>
    <x v="572"/>
    <x v="2"/>
    <x v="2"/>
    <x v="8"/>
    <n v="2"/>
    <n v="37172"/>
    <n v="74344"/>
  </r>
  <r>
    <n v="574"/>
    <s v="ODR_BC_288"/>
    <x v="573"/>
    <x v="3"/>
    <x v="3"/>
    <x v="6"/>
    <n v="13"/>
    <n v="64197"/>
    <n v="834561"/>
  </r>
  <r>
    <n v="575"/>
    <s v="ODR_CD_289"/>
    <x v="574"/>
    <x v="0"/>
    <x v="4"/>
    <x v="8"/>
    <n v="19"/>
    <n v="63847"/>
    <n v="1213093"/>
  </r>
  <r>
    <n v="576"/>
    <s v="ODR_BC_289"/>
    <x v="575"/>
    <x v="3"/>
    <x v="1"/>
    <x v="9"/>
    <n v="3"/>
    <n v="16577"/>
    <n v="49731"/>
  </r>
  <r>
    <n v="577"/>
    <s v="ODR_CD_290"/>
    <x v="576"/>
    <x v="2"/>
    <x v="1"/>
    <x v="11"/>
    <n v="10"/>
    <n v="25176"/>
    <n v="251760"/>
  </r>
  <r>
    <n v="578"/>
    <s v="ODR_BC_290"/>
    <x v="577"/>
    <x v="3"/>
    <x v="3"/>
    <x v="6"/>
    <n v="2"/>
    <n v="49386"/>
    <n v="98772"/>
  </r>
  <r>
    <n v="579"/>
    <s v="ODR_CD_291"/>
    <x v="578"/>
    <x v="3"/>
    <x v="3"/>
    <x v="8"/>
    <n v="13"/>
    <n v="68972"/>
    <n v="896636"/>
  </r>
  <r>
    <n v="580"/>
    <s v="ODR_BC_291"/>
    <x v="579"/>
    <x v="3"/>
    <x v="6"/>
    <x v="6"/>
    <n v="19"/>
    <n v="46003"/>
    <n v="874057"/>
  </r>
  <r>
    <n v="581"/>
    <s v="ODR_CD_292"/>
    <x v="580"/>
    <x v="3"/>
    <x v="0"/>
    <x v="6"/>
    <n v="17"/>
    <n v="24996"/>
    <n v="424932"/>
  </r>
  <r>
    <n v="582"/>
    <s v="ODR_BC_292"/>
    <x v="581"/>
    <x v="2"/>
    <x v="3"/>
    <x v="6"/>
    <n v="14"/>
    <n v="40931"/>
    <n v="573034"/>
  </r>
  <r>
    <n v="583"/>
    <s v="ODR_CD_293"/>
    <x v="582"/>
    <x v="1"/>
    <x v="3"/>
    <x v="11"/>
    <n v="12"/>
    <n v="40710"/>
    <n v="488520"/>
  </r>
  <r>
    <n v="584"/>
    <s v="ODR_BC_293"/>
    <x v="583"/>
    <x v="3"/>
    <x v="4"/>
    <x v="10"/>
    <n v="12"/>
    <n v="39693"/>
    <n v="476316"/>
  </r>
  <r>
    <n v="585"/>
    <s v="ODR_CD_294"/>
    <x v="584"/>
    <x v="3"/>
    <x v="1"/>
    <x v="6"/>
    <n v="11"/>
    <n v="40740"/>
    <n v="448140"/>
  </r>
  <r>
    <n v="586"/>
    <s v="ODR_BC_294"/>
    <x v="585"/>
    <x v="0"/>
    <x v="0"/>
    <x v="7"/>
    <n v="7"/>
    <n v="22374"/>
    <n v="156618"/>
  </r>
  <r>
    <n v="587"/>
    <s v="ODR_CD_295"/>
    <x v="586"/>
    <x v="3"/>
    <x v="4"/>
    <x v="9"/>
    <n v="4"/>
    <n v="50913"/>
    <n v="203652"/>
  </r>
  <r>
    <n v="588"/>
    <s v="ODR_BC_295"/>
    <x v="587"/>
    <x v="0"/>
    <x v="6"/>
    <x v="11"/>
    <n v="19"/>
    <n v="71025"/>
    <n v="1349475"/>
  </r>
  <r>
    <n v="589"/>
    <s v="ODR_CD_296"/>
    <x v="588"/>
    <x v="1"/>
    <x v="6"/>
    <x v="8"/>
    <n v="1"/>
    <n v="49516"/>
    <n v="49516"/>
  </r>
  <r>
    <n v="590"/>
    <s v="ODR_BC_296"/>
    <x v="589"/>
    <x v="2"/>
    <x v="3"/>
    <x v="11"/>
    <n v="3"/>
    <n v="31069"/>
    <n v="93207"/>
  </r>
  <r>
    <n v="591"/>
    <s v="ODR_CD_297"/>
    <x v="590"/>
    <x v="2"/>
    <x v="3"/>
    <x v="8"/>
    <n v="13"/>
    <n v="61233"/>
    <n v="796029"/>
  </r>
  <r>
    <n v="592"/>
    <s v="ODR_BC_297"/>
    <x v="591"/>
    <x v="1"/>
    <x v="6"/>
    <x v="11"/>
    <n v="15"/>
    <n v="64049"/>
    <n v="960735"/>
  </r>
  <r>
    <n v="593"/>
    <s v="ODR_CD_298"/>
    <x v="592"/>
    <x v="2"/>
    <x v="3"/>
    <x v="8"/>
    <n v="2"/>
    <n v="44178"/>
    <n v="88356"/>
  </r>
  <r>
    <n v="594"/>
    <s v="ODR_BC_298"/>
    <x v="593"/>
    <x v="1"/>
    <x v="0"/>
    <x v="6"/>
    <n v="11"/>
    <n v="37821"/>
    <n v="416031"/>
  </r>
  <r>
    <n v="595"/>
    <s v="ODR_CD_299"/>
    <x v="594"/>
    <x v="1"/>
    <x v="3"/>
    <x v="10"/>
    <n v="4"/>
    <n v="56727"/>
    <n v="226908"/>
  </r>
  <r>
    <n v="596"/>
    <s v="ODR_BC_299"/>
    <x v="595"/>
    <x v="1"/>
    <x v="1"/>
    <x v="8"/>
    <n v="19"/>
    <n v="65935"/>
    <n v="1252765"/>
  </r>
  <r>
    <n v="597"/>
    <s v="ODR_CD_300"/>
    <x v="596"/>
    <x v="2"/>
    <x v="3"/>
    <x v="8"/>
    <n v="17"/>
    <n v="21999"/>
    <n v="373983"/>
  </r>
  <r>
    <n v="598"/>
    <s v="ODR_BC_300"/>
    <x v="597"/>
    <x v="0"/>
    <x v="4"/>
    <x v="7"/>
    <n v="3"/>
    <n v="67522"/>
    <n v="202566"/>
  </r>
  <r>
    <n v="599"/>
    <s v="ODR_CD_301"/>
    <x v="598"/>
    <x v="1"/>
    <x v="0"/>
    <x v="8"/>
    <n v="18"/>
    <n v="43712"/>
    <n v="786816"/>
  </r>
  <r>
    <n v="600"/>
    <s v="ODR_BC_301"/>
    <x v="599"/>
    <x v="3"/>
    <x v="4"/>
    <x v="7"/>
    <n v="8"/>
    <n v="69551"/>
    <n v="556408"/>
  </r>
  <r>
    <n v="601"/>
    <s v="ODR_CD_302"/>
    <x v="600"/>
    <x v="2"/>
    <x v="4"/>
    <x v="9"/>
    <n v="19"/>
    <n v="45172"/>
    <n v="858268"/>
  </r>
  <r>
    <n v="602"/>
    <s v="ODR_BC_302"/>
    <x v="601"/>
    <x v="1"/>
    <x v="1"/>
    <x v="6"/>
    <n v="5"/>
    <n v="38722"/>
    <n v="193610"/>
  </r>
  <r>
    <n v="603"/>
    <s v="ODR_CD_303"/>
    <x v="602"/>
    <x v="1"/>
    <x v="0"/>
    <x v="7"/>
    <n v="7"/>
    <n v="15625"/>
    <n v="109375"/>
  </r>
  <r>
    <n v="604"/>
    <s v="ODR_BC_303"/>
    <x v="603"/>
    <x v="3"/>
    <x v="0"/>
    <x v="10"/>
    <n v="8"/>
    <n v="72165"/>
    <n v="577320"/>
  </r>
  <r>
    <n v="605"/>
    <s v="ODR_CD_304"/>
    <x v="604"/>
    <x v="0"/>
    <x v="0"/>
    <x v="6"/>
    <n v="5"/>
    <n v="11859"/>
    <n v="59295"/>
  </r>
  <r>
    <n v="606"/>
    <s v="ODR_BC_304"/>
    <x v="605"/>
    <x v="0"/>
    <x v="0"/>
    <x v="7"/>
    <n v="17"/>
    <n v="46609"/>
    <n v="792353"/>
  </r>
  <r>
    <n v="607"/>
    <s v="ODR_CD_305"/>
    <x v="606"/>
    <x v="0"/>
    <x v="0"/>
    <x v="6"/>
    <n v="5"/>
    <n v="48307"/>
    <n v="241535"/>
  </r>
  <r>
    <n v="608"/>
    <s v="ODR_BC_305"/>
    <x v="607"/>
    <x v="1"/>
    <x v="1"/>
    <x v="12"/>
    <n v="4"/>
    <n v="26839"/>
    <n v="107356"/>
  </r>
  <r>
    <n v="609"/>
    <s v="ODR_CD_306"/>
    <x v="608"/>
    <x v="1"/>
    <x v="3"/>
    <x v="12"/>
    <n v="19"/>
    <n v="32216"/>
    <n v="612104"/>
  </r>
  <r>
    <n v="610"/>
    <s v="ODR_BC_306"/>
    <x v="609"/>
    <x v="1"/>
    <x v="4"/>
    <x v="9"/>
    <n v="2"/>
    <n v="57953"/>
    <n v="115906"/>
  </r>
  <r>
    <n v="611"/>
    <s v="ODR_CD_307"/>
    <x v="610"/>
    <x v="2"/>
    <x v="0"/>
    <x v="10"/>
    <n v="11"/>
    <n v="65593"/>
    <n v="721523"/>
  </r>
  <r>
    <n v="612"/>
    <s v="ODR_BC_307"/>
    <x v="611"/>
    <x v="3"/>
    <x v="3"/>
    <x v="11"/>
    <n v="13"/>
    <n v="54522"/>
    <n v="708786"/>
  </r>
  <r>
    <n v="613"/>
    <s v="ODR_CD_308"/>
    <x v="612"/>
    <x v="1"/>
    <x v="3"/>
    <x v="11"/>
    <n v="15"/>
    <n v="9886"/>
    <n v="148290"/>
  </r>
  <r>
    <n v="614"/>
    <s v="ODR_BC_308"/>
    <x v="613"/>
    <x v="3"/>
    <x v="4"/>
    <x v="7"/>
    <n v="12"/>
    <n v="12485"/>
    <n v="149820"/>
  </r>
  <r>
    <n v="615"/>
    <s v="ODR_CD_309"/>
    <x v="614"/>
    <x v="3"/>
    <x v="1"/>
    <x v="12"/>
    <n v="11"/>
    <n v="36455"/>
    <n v="401005"/>
  </r>
  <r>
    <n v="616"/>
    <s v="ODR_BC_309"/>
    <x v="615"/>
    <x v="0"/>
    <x v="2"/>
    <x v="7"/>
    <n v="7"/>
    <n v="21767"/>
    <n v="152369"/>
  </r>
  <r>
    <n v="617"/>
    <s v="ODR_CD_310"/>
    <x v="616"/>
    <x v="2"/>
    <x v="2"/>
    <x v="9"/>
    <n v="5"/>
    <n v="33453"/>
    <n v="167265"/>
  </r>
  <r>
    <n v="618"/>
    <s v="ODR_BC_310"/>
    <x v="617"/>
    <x v="1"/>
    <x v="3"/>
    <x v="9"/>
    <n v="17"/>
    <n v="58442"/>
    <n v="993514"/>
  </r>
  <r>
    <n v="619"/>
    <s v="ODR_CD_311"/>
    <x v="618"/>
    <x v="0"/>
    <x v="4"/>
    <x v="8"/>
    <n v="9"/>
    <n v="56877"/>
    <n v="511893"/>
  </r>
  <r>
    <n v="620"/>
    <s v="ODR_BC_311"/>
    <x v="619"/>
    <x v="0"/>
    <x v="2"/>
    <x v="9"/>
    <n v="14"/>
    <n v="17226"/>
    <n v="241164"/>
  </r>
  <r>
    <n v="621"/>
    <s v="ODR_CD_312"/>
    <x v="620"/>
    <x v="1"/>
    <x v="3"/>
    <x v="8"/>
    <n v="12"/>
    <n v="27588"/>
    <n v="331056"/>
  </r>
  <r>
    <n v="622"/>
    <s v="ODR_BC_312"/>
    <x v="621"/>
    <x v="3"/>
    <x v="5"/>
    <x v="10"/>
    <n v="6"/>
    <n v="36709"/>
    <n v="220254"/>
  </r>
  <r>
    <n v="623"/>
    <s v="ODR_CD_313"/>
    <x v="622"/>
    <x v="0"/>
    <x v="2"/>
    <x v="7"/>
    <n v="17"/>
    <n v="52788"/>
    <n v="897396"/>
  </r>
  <r>
    <n v="624"/>
    <s v="ODR_BC_313"/>
    <x v="623"/>
    <x v="3"/>
    <x v="3"/>
    <x v="10"/>
    <n v="19"/>
    <n v="42019"/>
    <n v="798361"/>
  </r>
  <r>
    <n v="625"/>
    <s v="ODR_CD_314"/>
    <x v="624"/>
    <x v="2"/>
    <x v="3"/>
    <x v="9"/>
    <n v="19"/>
    <n v="49948"/>
    <n v="949012"/>
  </r>
  <r>
    <n v="626"/>
    <s v="ODR_BC_314"/>
    <x v="625"/>
    <x v="3"/>
    <x v="0"/>
    <x v="10"/>
    <n v="16"/>
    <n v="70133"/>
    <n v="1122128"/>
  </r>
  <r>
    <n v="627"/>
    <s v="ODR_CD_315"/>
    <x v="626"/>
    <x v="2"/>
    <x v="5"/>
    <x v="10"/>
    <n v="12"/>
    <n v="71458"/>
    <n v="857496"/>
  </r>
  <r>
    <n v="628"/>
    <s v="ODR_BC_315"/>
    <x v="627"/>
    <x v="3"/>
    <x v="0"/>
    <x v="10"/>
    <n v="12"/>
    <n v="32526"/>
    <n v="390312"/>
  </r>
  <r>
    <n v="629"/>
    <s v="ODR_CD_316"/>
    <x v="628"/>
    <x v="0"/>
    <x v="4"/>
    <x v="9"/>
    <n v="6"/>
    <n v="57198"/>
    <n v="343188"/>
  </r>
  <r>
    <n v="630"/>
    <s v="ODR_BC_316"/>
    <x v="629"/>
    <x v="0"/>
    <x v="0"/>
    <x v="12"/>
    <n v="4"/>
    <n v="48395"/>
    <n v="193580"/>
  </r>
  <r>
    <n v="631"/>
    <s v="ODR_CD_317"/>
    <x v="630"/>
    <x v="2"/>
    <x v="0"/>
    <x v="10"/>
    <n v="6"/>
    <n v="29031"/>
    <n v="174186"/>
  </r>
  <r>
    <n v="632"/>
    <s v="ODR_BC_317"/>
    <x v="631"/>
    <x v="1"/>
    <x v="2"/>
    <x v="8"/>
    <n v="11"/>
    <n v="42701"/>
    <n v="469711"/>
  </r>
  <r>
    <n v="633"/>
    <s v="ODR_CD_318"/>
    <x v="632"/>
    <x v="2"/>
    <x v="3"/>
    <x v="9"/>
    <n v="1"/>
    <n v="30939"/>
    <n v="30939"/>
  </r>
  <r>
    <n v="634"/>
    <s v="ODR_BC_318"/>
    <x v="633"/>
    <x v="2"/>
    <x v="5"/>
    <x v="10"/>
    <n v="15"/>
    <n v="54145"/>
    <n v="812175"/>
  </r>
  <r>
    <n v="635"/>
    <s v="ODR_CD_319"/>
    <x v="634"/>
    <x v="3"/>
    <x v="0"/>
    <x v="12"/>
    <n v="11"/>
    <n v="25324"/>
    <n v="278564"/>
  </r>
  <r>
    <n v="636"/>
    <s v="ODR_BC_319"/>
    <x v="635"/>
    <x v="3"/>
    <x v="5"/>
    <x v="9"/>
    <n v="19"/>
    <n v="27867"/>
    <n v="529473"/>
  </r>
  <r>
    <n v="637"/>
    <s v="ODR_CD_320"/>
    <x v="636"/>
    <x v="2"/>
    <x v="0"/>
    <x v="11"/>
    <n v="18"/>
    <n v="5203"/>
    <n v="93654"/>
  </r>
  <r>
    <n v="638"/>
    <s v="ODR_BC_320"/>
    <x v="637"/>
    <x v="0"/>
    <x v="4"/>
    <x v="12"/>
    <n v="17"/>
    <n v="21544"/>
    <n v="366248"/>
  </r>
  <r>
    <n v="639"/>
    <s v="ODR_CD_321"/>
    <x v="638"/>
    <x v="3"/>
    <x v="0"/>
    <x v="8"/>
    <n v="19"/>
    <n v="20899"/>
    <n v="397081"/>
  </r>
  <r>
    <n v="640"/>
    <s v="ODR_BC_321"/>
    <x v="639"/>
    <x v="1"/>
    <x v="2"/>
    <x v="10"/>
    <n v="14"/>
    <n v="34063"/>
    <n v="476882"/>
  </r>
  <r>
    <n v="641"/>
    <s v="ODR_CD_322"/>
    <x v="640"/>
    <x v="3"/>
    <x v="3"/>
    <x v="11"/>
    <n v="18"/>
    <n v="8748"/>
    <n v="157464"/>
  </r>
  <r>
    <n v="642"/>
    <s v="ODR_BC_322"/>
    <x v="641"/>
    <x v="3"/>
    <x v="4"/>
    <x v="11"/>
    <n v="19"/>
    <n v="71629"/>
    <n v="1360951"/>
  </r>
  <r>
    <n v="643"/>
    <s v="ODR_CD_323"/>
    <x v="642"/>
    <x v="1"/>
    <x v="0"/>
    <x v="9"/>
    <n v="15"/>
    <n v="25884"/>
    <n v="388260"/>
  </r>
  <r>
    <n v="644"/>
    <s v="ODR_BC_323"/>
    <x v="643"/>
    <x v="2"/>
    <x v="5"/>
    <x v="11"/>
    <n v="15"/>
    <n v="30183"/>
    <n v="452745"/>
  </r>
  <r>
    <n v="645"/>
    <s v="ODR_CD_324"/>
    <x v="644"/>
    <x v="1"/>
    <x v="4"/>
    <x v="8"/>
    <n v="4"/>
    <n v="24259"/>
    <n v="97036"/>
  </r>
  <r>
    <n v="646"/>
    <s v="ODR_BC_324"/>
    <x v="645"/>
    <x v="2"/>
    <x v="4"/>
    <x v="8"/>
    <n v="7"/>
    <n v="40959"/>
    <n v="286713"/>
  </r>
  <r>
    <n v="647"/>
    <s v="ODR_CD_325"/>
    <x v="646"/>
    <x v="2"/>
    <x v="0"/>
    <x v="7"/>
    <n v="13"/>
    <n v="38457"/>
    <n v="499941"/>
  </r>
  <r>
    <n v="648"/>
    <s v="ODR_BC_325"/>
    <x v="647"/>
    <x v="2"/>
    <x v="4"/>
    <x v="8"/>
    <n v="3"/>
    <n v="7103"/>
    <n v="21309"/>
  </r>
  <r>
    <n v="649"/>
    <s v="ODR_CD_326"/>
    <x v="648"/>
    <x v="1"/>
    <x v="1"/>
    <x v="12"/>
    <n v="16"/>
    <n v="70901"/>
    <n v="1134416"/>
  </r>
  <r>
    <n v="650"/>
    <s v="ODR_BC_326"/>
    <x v="649"/>
    <x v="2"/>
    <x v="4"/>
    <x v="11"/>
    <n v="9"/>
    <n v="49535"/>
    <n v="445815"/>
  </r>
  <r>
    <n v="651"/>
    <s v="ODR_CD_327"/>
    <x v="650"/>
    <x v="0"/>
    <x v="1"/>
    <x v="8"/>
    <n v="8"/>
    <n v="21103"/>
    <n v="168824"/>
  </r>
  <r>
    <n v="652"/>
    <s v="ODR_BC_327"/>
    <x v="651"/>
    <x v="1"/>
    <x v="0"/>
    <x v="9"/>
    <n v="13"/>
    <n v="17391"/>
    <n v="226083"/>
  </r>
  <r>
    <n v="653"/>
    <s v="ODR_CD_328"/>
    <x v="652"/>
    <x v="0"/>
    <x v="3"/>
    <x v="7"/>
    <n v="17"/>
    <n v="33901"/>
    <n v="576317"/>
  </r>
  <r>
    <n v="654"/>
    <s v="ODR_BC_328"/>
    <x v="653"/>
    <x v="2"/>
    <x v="4"/>
    <x v="11"/>
    <n v="17"/>
    <n v="72914"/>
    <n v="1239538"/>
  </r>
  <r>
    <n v="655"/>
    <s v="ODR_CD_329"/>
    <x v="654"/>
    <x v="3"/>
    <x v="3"/>
    <x v="7"/>
    <n v="17"/>
    <n v="55357"/>
    <n v="941069"/>
  </r>
  <r>
    <n v="656"/>
    <s v="ODR_BC_329"/>
    <x v="655"/>
    <x v="2"/>
    <x v="1"/>
    <x v="11"/>
    <n v="1"/>
    <n v="43437"/>
    <n v="43437"/>
  </r>
  <r>
    <n v="657"/>
    <s v="ODR_CD_330"/>
    <x v="656"/>
    <x v="0"/>
    <x v="4"/>
    <x v="9"/>
    <n v="8"/>
    <n v="40503"/>
    <n v="324024"/>
  </r>
  <r>
    <n v="658"/>
    <s v="ODR_BC_330"/>
    <x v="657"/>
    <x v="0"/>
    <x v="2"/>
    <x v="7"/>
    <n v="19"/>
    <n v="46258"/>
    <n v="878902"/>
  </r>
  <r>
    <n v="659"/>
    <s v="ODR_CD_331"/>
    <x v="658"/>
    <x v="1"/>
    <x v="3"/>
    <x v="10"/>
    <n v="6"/>
    <n v="38724"/>
    <n v="232344"/>
  </r>
  <r>
    <n v="660"/>
    <s v="ODR_BC_331"/>
    <x v="659"/>
    <x v="3"/>
    <x v="4"/>
    <x v="12"/>
    <n v="3"/>
    <n v="69286"/>
    <n v="207858"/>
  </r>
  <r>
    <n v="661"/>
    <s v="ODR_CD_332"/>
    <x v="660"/>
    <x v="1"/>
    <x v="3"/>
    <x v="12"/>
    <n v="5"/>
    <n v="19908"/>
    <n v="99540"/>
  </r>
  <r>
    <n v="662"/>
    <s v="ODR_BC_332"/>
    <x v="661"/>
    <x v="0"/>
    <x v="4"/>
    <x v="11"/>
    <n v="13"/>
    <n v="55626"/>
    <n v="723138"/>
  </r>
  <r>
    <n v="663"/>
    <s v="ODR_CD_333"/>
    <x v="662"/>
    <x v="2"/>
    <x v="0"/>
    <x v="10"/>
    <n v="15"/>
    <n v="42228"/>
    <n v="633420"/>
  </r>
  <r>
    <n v="664"/>
    <s v="ODR_BC_333"/>
    <x v="663"/>
    <x v="3"/>
    <x v="3"/>
    <x v="7"/>
    <n v="14"/>
    <n v="28386"/>
    <n v="397404"/>
  </r>
  <r>
    <n v="665"/>
    <s v="ODR_CD_334"/>
    <x v="664"/>
    <x v="2"/>
    <x v="2"/>
    <x v="8"/>
    <n v="16"/>
    <n v="51754"/>
    <n v="828064"/>
  </r>
  <r>
    <n v="666"/>
    <s v="ODR_BC_334"/>
    <x v="665"/>
    <x v="2"/>
    <x v="2"/>
    <x v="11"/>
    <n v="18"/>
    <n v="33302"/>
    <n v="599436"/>
  </r>
  <r>
    <n v="667"/>
    <s v="ODR_CD_335"/>
    <x v="666"/>
    <x v="3"/>
    <x v="1"/>
    <x v="7"/>
    <n v="11"/>
    <n v="65815"/>
    <n v="723965"/>
  </r>
  <r>
    <n v="668"/>
    <s v="ODR_BC_335"/>
    <x v="667"/>
    <x v="1"/>
    <x v="4"/>
    <x v="9"/>
    <n v="3"/>
    <n v="68344"/>
    <n v="205032"/>
  </r>
  <r>
    <n v="669"/>
    <s v="ODR_CD_336"/>
    <x v="668"/>
    <x v="2"/>
    <x v="3"/>
    <x v="10"/>
    <n v="10"/>
    <n v="40618"/>
    <n v="406180"/>
  </r>
  <r>
    <n v="670"/>
    <s v="ODR_BC_336"/>
    <x v="669"/>
    <x v="0"/>
    <x v="1"/>
    <x v="10"/>
    <n v="10"/>
    <n v="66114"/>
    <n v="661140"/>
  </r>
  <r>
    <n v="671"/>
    <s v="ODR_CD_337"/>
    <x v="670"/>
    <x v="2"/>
    <x v="3"/>
    <x v="9"/>
    <n v="16"/>
    <n v="30525"/>
    <n v="488400"/>
  </r>
  <r>
    <n v="672"/>
    <s v="ODR_BC_337"/>
    <x v="671"/>
    <x v="3"/>
    <x v="4"/>
    <x v="10"/>
    <n v="12"/>
    <n v="19334"/>
    <n v="232008"/>
  </r>
  <r>
    <n v="673"/>
    <s v="ODR_CD_338"/>
    <x v="672"/>
    <x v="3"/>
    <x v="2"/>
    <x v="10"/>
    <n v="2"/>
    <n v="67767"/>
    <n v="135534"/>
  </r>
  <r>
    <n v="674"/>
    <s v="ODR_BC_338"/>
    <x v="673"/>
    <x v="3"/>
    <x v="0"/>
    <x v="10"/>
    <n v="9"/>
    <n v="11644"/>
    <n v="104796"/>
  </r>
  <r>
    <n v="675"/>
    <s v="ODR_CD_339"/>
    <x v="674"/>
    <x v="1"/>
    <x v="2"/>
    <x v="12"/>
    <n v="3"/>
    <n v="37933"/>
    <n v="113799"/>
  </r>
  <r>
    <n v="676"/>
    <s v="ODR_BC_339"/>
    <x v="675"/>
    <x v="2"/>
    <x v="1"/>
    <x v="8"/>
    <n v="15"/>
    <n v="48469"/>
    <n v="727035"/>
  </r>
  <r>
    <n v="677"/>
    <s v="ODR_CD_340"/>
    <x v="676"/>
    <x v="1"/>
    <x v="0"/>
    <x v="9"/>
    <n v="3"/>
    <n v="38687"/>
    <n v="116061"/>
  </r>
  <r>
    <n v="678"/>
    <s v="ODR_BC_340"/>
    <x v="677"/>
    <x v="1"/>
    <x v="1"/>
    <x v="10"/>
    <n v="19"/>
    <n v="57656"/>
    <n v="1095464"/>
  </r>
  <r>
    <n v="679"/>
    <s v="ODR_CD_341"/>
    <x v="678"/>
    <x v="3"/>
    <x v="4"/>
    <x v="12"/>
    <n v="18"/>
    <n v="22375"/>
    <n v="402750"/>
  </r>
  <r>
    <n v="680"/>
    <s v="ODR_BC_341"/>
    <x v="679"/>
    <x v="3"/>
    <x v="0"/>
    <x v="9"/>
    <n v="8"/>
    <n v="70206"/>
    <n v="561648"/>
  </r>
  <r>
    <n v="681"/>
    <s v="ODR_CD_342"/>
    <x v="680"/>
    <x v="1"/>
    <x v="1"/>
    <x v="11"/>
    <n v="17"/>
    <n v="41607"/>
    <n v="707319"/>
  </r>
  <r>
    <n v="682"/>
    <s v="ODR_BC_342"/>
    <x v="681"/>
    <x v="2"/>
    <x v="4"/>
    <x v="11"/>
    <n v="8"/>
    <n v="28993"/>
    <n v="231944"/>
  </r>
  <r>
    <n v="683"/>
    <s v="ODR_CD_343"/>
    <x v="682"/>
    <x v="0"/>
    <x v="2"/>
    <x v="10"/>
    <n v="7"/>
    <n v="49386"/>
    <n v="345702"/>
  </r>
  <r>
    <n v="684"/>
    <s v="ODR_BC_343"/>
    <x v="683"/>
    <x v="1"/>
    <x v="4"/>
    <x v="12"/>
    <n v="7"/>
    <n v="51287"/>
    <n v="359009"/>
  </r>
  <r>
    <n v="685"/>
    <s v="ODR_CD_344"/>
    <x v="684"/>
    <x v="2"/>
    <x v="3"/>
    <x v="12"/>
    <n v="3"/>
    <n v="13210"/>
    <n v="39630"/>
  </r>
  <r>
    <n v="686"/>
    <s v="ODR_BC_344"/>
    <x v="685"/>
    <x v="3"/>
    <x v="5"/>
    <x v="9"/>
    <n v="1"/>
    <n v="15922"/>
    <n v="15922"/>
  </r>
  <r>
    <n v="687"/>
    <s v="ODR_CD_345"/>
    <x v="686"/>
    <x v="3"/>
    <x v="5"/>
    <x v="9"/>
    <n v="4"/>
    <n v="41289"/>
    <n v="165156"/>
  </r>
  <r>
    <n v="688"/>
    <s v="ODR_BC_345"/>
    <x v="687"/>
    <x v="2"/>
    <x v="3"/>
    <x v="12"/>
    <n v="5"/>
    <n v="38340"/>
    <n v="191700"/>
  </r>
  <r>
    <n v="689"/>
    <s v="ODR_CD_346"/>
    <x v="688"/>
    <x v="0"/>
    <x v="1"/>
    <x v="9"/>
    <n v="1"/>
    <n v="44850"/>
    <n v="44850"/>
  </r>
  <r>
    <n v="690"/>
    <s v="ODR_BC_346"/>
    <x v="689"/>
    <x v="3"/>
    <x v="1"/>
    <x v="12"/>
    <n v="15"/>
    <n v="61984"/>
    <n v="929760"/>
  </r>
  <r>
    <n v="691"/>
    <s v="ODR_CD_347"/>
    <x v="690"/>
    <x v="3"/>
    <x v="5"/>
    <x v="8"/>
    <n v="5"/>
    <n v="16094"/>
    <n v="80470"/>
  </r>
  <r>
    <n v="692"/>
    <s v="ODR_BC_347"/>
    <x v="691"/>
    <x v="3"/>
    <x v="3"/>
    <x v="12"/>
    <n v="13"/>
    <n v="38418"/>
    <n v="499434"/>
  </r>
  <r>
    <n v="693"/>
    <s v="ODR_CD_348"/>
    <x v="692"/>
    <x v="2"/>
    <x v="3"/>
    <x v="11"/>
    <n v="8"/>
    <n v="10741"/>
    <n v="85928"/>
  </r>
  <r>
    <n v="694"/>
    <s v="ODR_BC_348"/>
    <x v="693"/>
    <x v="1"/>
    <x v="2"/>
    <x v="9"/>
    <n v="8"/>
    <n v="73798"/>
    <n v="590384"/>
  </r>
  <r>
    <n v="695"/>
    <s v="ODR_CD_349"/>
    <x v="694"/>
    <x v="3"/>
    <x v="1"/>
    <x v="12"/>
    <n v="5"/>
    <n v="27164"/>
    <n v="135820"/>
  </r>
  <r>
    <n v="696"/>
    <s v="ODR_BC_349"/>
    <x v="695"/>
    <x v="1"/>
    <x v="0"/>
    <x v="12"/>
    <n v="9"/>
    <n v="40595"/>
    <n v="365355"/>
  </r>
  <r>
    <n v="697"/>
    <s v="ODR_CD_350"/>
    <x v="696"/>
    <x v="0"/>
    <x v="1"/>
    <x v="9"/>
    <n v="1"/>
    <n v="35257"/>
    <n v="35257"/>
  </r>
  <r>
    <n v="698"/>
    <s v="ODR_BC_350"/>
    <x v="697"/>
    <x v="3"/>
    <x v="1"/>
    <x v="8"/>
    <n v="4"/>
    <n v="19211"/>
    <n v="76844"/>
  </r>
  <r>
    <n v="699"/>
    <s v="ODR_CD_351"/>
    <x v="698"/>
    <x v="3"/>
    <x v="2"/>
    <x v="8"/>
    <n v="3"/>
    <n v="10232"/>
    <n v="30696"/>
  </r>
  <r>
    <n v="700"/>
    <s v="ODR_BC_351"/>
    <x v="699"/>
    <x v="0"/>
    <x v="0"/>
    <x v="9"/>
    <n v="2"/>
    <n v="72753"/>
    <n v="145506"/>
  </r>
  <r>
    <n v="701"/>
    <s v="ODR_CD_352"/>
    <x v="700"/>
    <x v="3"/>
    <x v="2"/>
    <x v="7"/>
    <n v="8"/>
    <n v="57691"/>
    <n v="461528"/>
  </r>
  <r>
    <n v="702"/>
    <s v="ODR_BC_352"/>
    <x v="701"/>
    <x v="1"/>
    <x v="0"/>
    <x v="9"/>
    <n v="9"/>
    <n v="30613"/>
    <n v="275517"/>
  </r>
  <r>
    <n v="703"/>
    <s v="ODR_CD_353"/>
    <x v="702"/>
    <x v="2"/>
    <x v="5"/>
    <x v="9"/>
    <n v="2"/>
    <n v="19026"/>
    <n v="38052"/>
  </r>
  <r>
    <n v="704"/>
    <s v="ODR_BC_353"/>
    <x v="703"/>
    <x v="1"/>
    <x v="0"/>
    <x v="8"/>
    <n v="14"/>
    <n v="58535"/>
    <n v="819490"/>
  </r>
  <r>
    <n v="705"/>
    <s v="ODR_CD_354"/>
    <x v="704"/>
    <x v="2"/>
    <x v="2"/>
    <x v="8"/>
    <n v="14"/>
    <n v="35908"/>
    <n v="502712"/>
  </r>
  <r>
    <n v="706"/>
    <s v="ODR_BC_354"/>
    <x v="705"/>
    <x v="2"/>
    <x v="1"/>
    <x v="9"/>
    <n v="4"/>
    <n v="57113"/>
    <n v="228452"/>
  </r>
  <r>
    <n v="707"/>
    <s v="ODR_CD_355"/>
    <x v="706"/>
    <x v="1"/>
    <x v="0"/>
    <x v="9"/>
    <n v="6"/>
    <n v="24610"/>
    <n v="147660"/>
  </r>
  <r>
    <n v="708"/>
    <s v="ODR_BC_355"/>
    <x v="707"/>
    <x v="1"/>
    <x v="0"/>
    <x v="9"/>
    <n v="11"/>
    <n v="51646"/>
    <n v="568106"/>
  </r>
  <r>
    <n v="709"/>
    <s v="ODR_CD_356"/>
    <x v="708"/>
    <x v="1"/>
    <x v="3"/>
    <x v="8"/>
    <n v="3"/>
    <n v="68185"/>
    <n v="204555"/>
  </r>
  <r>
    <n v="710"/>
    <s v="ODR_BC_356"/>
    <x v="709"/>
    <x v="1"/>
    <x v="1"/>
    <x v="9"/>
    <n v="8"/>
    <n v="52574"/>
    <n v="420592"/>
  </r>
  <r>
    <n v="711"/>
    <s v="ODR_CD_357"/>
    <x v="710"/>
    <x v="0"/>
    <x v="5"/>
    <x v="9"/>
    <n v="3"/>
    <n v="41182"/>
    <n v="123546"/>
  </r>
  <r>
    <n v="712"/>
    <s v="ODR_BC_357"/>
    <x v="711"/>
    <x v="3"/>
    <x v="2"/>
    <x v="10"/>
    <n v="14"/>
    <n v="5570"/>
    <n v="77980"/>
  </r>
  <r>
    <n v="713"/>
    <s v="ODR_CD_358"/>
    <x v="712"/>
    <x v="2"/>
    <x v="5"/>
    <x v="7"/>
    <n v="13"/>
    <n v="24288"/>
    <n v="315744"/>
  </r>
  <r>
    <n v="714"/>
    <s v="ODR_BC_358"/>
    <x v="713"/>
    <x v="1"/>
    <x v="1"/>
    <x v="11"/>
    <n v="13"/>
    <n v="34877"/>
    <n v="453401"/>
  </r>
  <r>
    <n v="715"/>
    <s v="ODR_CD_359"/>
    <x v="714"/>
    <x v="1"/>
    <x v="0"/>
    <x v="7"/>
    <n v="2"/>
    <n v="5917"/>
    <n v="11834"/>
  </r>
  <r>
    <n v="716"/>
    <s v="ODR_BC_359"/>
    <x v="715"/>
    <x v="1"/>
    <x v="0"/>
    <x v="10"/>
    <n v="13"/>
    <n v="69575"/>
    <n v="904475"/>
  </r>
  <r>
    <n v="717"/>
    <s v="ODR_CD_360"/>
    <x v="716"/>
    <x v="0"/>
    <x v="1"/>
    <x v="11"/>
    <n v="19"/>
    <n v="44104"/>
    <n v="837976"/>
  </r>
  <r>
    <n v="718"/>
    <s v="ODR_BC_360"/>
    <x v="717"/>
    <x v="1"/>
    <x v="0"/>
    <x v="9"/>
    <n v="6"/>
    <n v="23062"/>
    <n v="138372"/>
  </r>
  <r>
    <n v="719"/>
    <s v="ODR_CD_361"/>
    <x v="718"/>
    <x v="1"/>
    <x v="0"/>
    <x v="10"/>
    <n v="16"/>
    <n v="21999"/>
    <n v="351984"/>
  </r>
  <r>
    <n v="720"/>
    <s v="ODR_BC_361"/>
    <x v="719"/>
    <x v="1"/>
    <x v="0"/>
    <x v="9"/>
    <n v="2"/>
    <n v="66845"/>
    <n v="133690"/>
  </r>
  <r>
    <n v="721"/>
    <s v="ODR_CD_362"/>
    <x v="720"/>
    <x v="3"/>
    <x v="2"/>
    <x v="8"/>
    <n v="8"/>
    <n v="14941"/>
    <n v="119528"/>
  </r>
  <r>
    <n v="722"/>
    <s v="ODR_BC_362"/>
    <x v="721"/>
    <x v="0"/>
    <x v="2"/>
    <x v="12"/>
    <n v="17"/>
    <n v="66169"/>
    <n v="1124873"/>
  </r>
  <r>
    <n v="723"/>
    <s v="ODR_CD_363"/>
    <x v="722"/>
    <x v="1"/>
    <x v="3"/>
    <x v="10"/>
    <n v="2"/>
    <n v="28470"/>
    <n v="56940"/>
  </r>
  <r>
    <n v="724"/>
    <s v="ODR_BC_363"/>
    <x v="723"/>
    <x v="2"/>
    <x v="5"/>
    <x v="8"/>
    <n v="10"/>
    <n v="64821"/>
    <n v="648210"/>
  </r>
  <r>
    <n v="725"/>
    <s v="ODR_CD_364"/>
    <x v="724"/>
    <x v="2"/>
    <x v="1"/>
    <x v="8"/>
    <n v="16"/>
    <n v="49435"/>
    <n v="790960"/>
  </r>
  <r>
    <n v="726"/>
    <s v="ODR_BC_364"/>
    <x v="725"/>
    <x v="2"/>
    <x v="1"/>
    <x v="11"/>
    <n v="6"/>
    <n v="9529"/>
    <n v="57174"/>
  </r>
  <r>
    <n v="727"/>
    <s v="ODR_CD_365"/>
    <x v="726"/>
    <x v="0"/>
    <x v="1"/>
    <x v="8"/>
    <n v="2"/>
    <n v="17192"/>
    <n v="34384"/>
  </r>
  <r>
    <n v="728"/>
    <s v="ODR_BC_365"/>
    <x v="727"/>
    <x v="0"/>
    <x v="3"/>
    <x v="11"/>
    <n v="2"/>
    <n v="39087"/>
    <n v="78174"/>
  </r>
  <r>
    <n v="729"/>
    <s v="ODR_CD_366"/>
    <x v="728"/>
    <x v="2"/>
    <x v="2"/>
    <x v="7"/>
    <n v="13"/>
    <n v="71677"/>
    <n v="931801"/>
  </r>
  <r>
    <n v="730"/>
    <s v="ODR_BC_366"/>
    <x v="729"/>
    <x v="1"/>
    <x v="3"/>
    <x v="9"/>
    <n v="15"/>
    <n v="9627"/>
    <n v="144405"/>
  </r>
  <r>
    <n v="731"/>
    <s v="ODR_CD_367"/>
    <x v="730"/>
    <x v="0"/>
    <x v="1"/>
    <x v="10"/>
    <n v="2"/>
    <n v="61541"/>
    <n v="123082"/>
  </r>
  <r>
    <n v="732"/>
    <s v="ODR_BC_367"/>
    <x v="731"/>
    <x v="2"/>
    <x v="5"/>
    <x v="9"/>
    <n v="7"/>
    <n v="73226"/>
    <n v="512582"/>
  </r>
  <r>
    <n v="733"/>
    <s v="ODR_CD_368"/>
    <x v="732"/>
    <x v="2"/>
    <x v="0"/>
    <x v="12"/>
    <n v="3"/>
    <n v="8255"/>
    <n v="24765"/>
  </r>
  <r>
    <n v="734"/>
    <s v="ODR_BC_368"/>
    <x v="733"/>
    <x v="1"/>
    <x v="2"/>
    <x v="8"/>
    <n v="8"/>
    <n v="62433"/>
    <n v="499464"/>
  </r>
  <r>
    <n v="735"/>
    <s v="ODR_CD_369"/>
    <x v="734"/>
    <x v="3"/>
    <x v="2"/>
    <x v="9"/>
    <n v="14"/>
    <n v="10213"/>
    <n v="142982"/>
  </r>
  <r>
    <n v="736"/>
    <s v="ODR_BC_369"/>
    <x v="735"/>
    <x v="0"/>
    <x v="3"/>
    <x v="8"/>
    <n v="7"/>
    <n v="24404"/>
    <n v="170828"/>
  </r>
  <r>
    <n v="737"/>
    <s v="ODR_CD_370"/>
    <x v="736"/>
    <x v="1"/>
    <x v="2"/>
    <x v="9"/>
    <n v="7"/>
    <n v="30380"/>
    <n v="212660"/>
  </r>
  <r>
    <n v="738"/>
    <s v="ODR_BC_370"/>
    <x v="737"/>
    <x v="2"/>
    <x v="1"/>
    <x v="7"/>
    <n v="1"/>
    <n v="24173"/>
    <n v="24173"/>
  </r>
  <r>
    <n v="739"/>
    <s v="ODR_CD_371"/>
    <x v="738"/>
    <x v="2"/>
    <x v="1"/>
    <x v="7"/>
    <n v="17"/>
    <n v="58027"/>
    <n v="986459"/>
  </r>
  <r>
    <n v="740"/>
    <s v="ODR_BC_371"/>
    <x v="739"/>
    <x v="1"/>
    <x v="3"/>
    <x v="7"/>
    <n v="9"/>
    <n v="28989"/>
    <n v="260901"/>
  </r>
  <r>
    <n v="741"/>
    <s v="ODR_CD_372"/>
    <x v="740"/>
    <x v="0"/>
    <x v="1"/>
    <x v="7"/>
    <n v="13"/>
    <n v="29519"/>
    <n v="383747"/>
  </r>
  <r>
    <n v="742"/>
    <s v="ODR_BC_372"/>
    <x v="741"/>
    <x v="3"/>
    <x v="5"/>
    <x v="7"/>
    <n v="19"/>
    <n v="27439"/>
    <n v="521341"/>
  </r>
  <r>
    <n v="743"/>
    <s v="ODR_CD_373"/>
    <x v="742"/>
    <x v="3"/>
    <x v="3"/>
    <x v="7"/>
    <n v="19"/>
    <n v="19995"/>
    <n v="379905"/>
  </r>
  <r>
    <n v="744"/>
    <s v="ODR_BC_373"/>
    <x v="743"/>
    <x v="2"/>
    <x v="5"/>
    <x v="8"/>
    <n v="17"/>
    <n v="28559"/>
    <n v="485503"/>
  </r>
  <r>
    <n v="745"/>
    <s v="ODR_CD_374"/>
    <x v="744"/>
    <x v="0"/>
    <x v="0"/>
    <x v="10"/>
    <n v="10"/>
    <n v="10021"/>
    <n v="100210"/>
  </r>
  <r>
    <n v="746"/>
    <s v="ODR_BC_374"/>
    <x v="745"/>
    <x v="3"/>
    <x v="5"/>
    <x v="9"/>
    <n v="10"/>
    <n v="26119"/>
    <n v="261190"/>
  </r>
  <r>
    <n v="747"/>
    <s v="ODR_CD_375"/>
    <x v="746"/>
    <x v="0"/>
    <x v="0"/>
    <x v="7"/>
    <n v="4"/>
    <n v="56539"/>
    <n v="226156"/>
  </r>
  <r>
    <n v="748"/>
    <s v="ODR_BC_375"/>
    <x v="747"/>
    <x v="0"/>
    <x v="0"/>
    <x v="8"/>
    <n v="8"/>
    <n v="44350"/>
    <n v="354800"/>
  </r>
  <r>
    <n v="749"/>
    <s v="ODR_CD_376"/>
    <x v="748"/>
    <x v="2"/>
    <x v="5"/>
    <x v="8"/>
    <n v="18"/>
    <n v="51223"/>
    <n v="922014"/>
  </r>
  <r>
    <n v="750"/>
    <s v="ODR_BC_376"/>
    <x v="749"/>
    <x v="3"/>
    <x v="3"/>
    <x v="8"/>
    <n v="14"/>
    <n v="30517"/>
    <n v="427238"/>
  </r>
  <r>
    <n v="751"/>
    <s v="ODR_CD_377"/>
    <x v="750"/>
    <x v="1"/>
    <x v="1"/>
    <x v="10"/>
    <n v="18"/>
    <n v="27250"/>
    <n v="490500"/>
  </r>
  <r>
    <n v="752"/>
    <s v="ODR_BC_377"/>
    <x v="751"/>
    <x v="2"/>
    <x v="1"/>
    <x v="9"/>
    <n v="14"/>
    <n v="71798"/>
    <n v="1005172"/>
  </r>
  <r>
    <n v="753"/>
    <s v="ODR_CD_378"/>
    <x v="752"/>
    <x v="3"/>
    <x v="0"/>
    <x v="10"/>
    <n v="15"/>
    <n v="59199"/>
    <n v="887985"/>
  </r>
  <r>
    <n v="754"/>
    <s v="ODR_BC_378"/>
    <x v="753"/>
    <x v="3"/>
    <x v="0"/>
    <x v="11"/>
    <n v="4"/>
    <n v="64546"/>
    <n v="258184"/>
  </r>
  <r>
    <n v="755"/>
    <s v="ODR_CD_379"/>
    <x v="754"/>
    <x v="3"/>
    <x v="3"/>
    <x v="8"/>
    <n v="13"/>
    <n v="8327"/>
    <n v="108251"/>
  </r>
  <r>
    <n v="756"/>
    <s v="ODR_BC_379"/>
    <x v="755"/>
    <x v="3"/>
    <x v="2"/>
    <x v="11"/>
    <n v="8"/>
    <n v="34768"/>
    <n v="278144"/>
  </r>
  <r>
    <n v="757"/>
    <s v="ODR_CD_380"/>
    <x v="756"/>
    <x v="3"/>
    <x v="5"/>
    <x v="12"/>
    <n v="18"/>
    <n v="69418"/>
    <n v="1249524"/>
  </r>
  <r>
    <n v="758"/>
    <s v="ODR_BC_380"/>
    <x v="757"/>
    <x v="0"/>
    <x v="0"/>
    <x v="7"/>
    <n v="12"/>
    <n v="47788"/>
    <n v="573456"/>
  </r>
  <r>
    <n v="759"/>
    <s v="ODR_CD_381"/>
    <x v="758"/>
    <x v="2"/>
    <x v="1"/>
    <x v="7"/>
    <n v="14"/>
    <n v="51830"/>
    <n v="725620"/>
  </r>
  <r>
    <n v="760"/>
    <s v="ODR_BC_381"/>
    <x v="759"/>
    <x v="0"/>
    <x v="3"/>
    <x v="10"/>
    <n v="2"/>
    <n v="57446"/>
    <n v="114892"/>
  </r>
  <r>
    <n v="761"/>
    <s v="ODR_CD_382"/>
    <x v="760"/>
    <x v="1"/>
    <x v="5"/>
    <x v="9"/>
    <n v="18"/>
    <n v="20160"/>
    <n v="362880"/>
  </r>
  <r>
    <n v="762"/>
    <s v="ODR_BC_382"/>
    <x v="761"/>
    <x v="3"/>
    <x v="3"/>
    <x v="11"/>
    <n v="2"/>
    <n v="61583"/>
    <n v="123166"/>
  </r>
  <r>
    <n v="763"/>
    <s v="ODR_CD_383"/>
    <x v="762"/>
    <x v="2"/>
    <x v="5"/>
    <x v="9"/>
    <n v="11"/>
    <n v="38998"/>
    <n v="428978"/>
  </r>
  <r>
    <n v="764"/>
    <s v="ODR_BC_383"/>
    <x v="763"/>
    <x v="3"/>
    <x v="5"/>
    <x v="10"/>
    <n v="9"/>
    <n v="32230"/>
    <n v="290070"/>
  </r>
  <r>
    <n v="765"/>
    <s v="ODR_CD_384"/>
    <x v="764"/>
    <x v="2"/>
    <x v="0"/>
    <x v="13"/>
    <n v="12"/>
    <n v="14076"/>
    <n v="168912"/>
  </r>
  <r>
    <n v="766"/>
    <s v="ODR_BC_384"/>
    <x v="765"/>
    <x v="0"/>
    <x v="3"/>
    <x v="9"/>
    <n v="17"/>
    <n v="74341"/>
    <n v="1263797"/>
  </r>
  <r>
    <n v="767"/>
    <s v="ODR_CD_385"/>
    <x v="766"/>
    <x v="2"/>
    <x v="3"/>
    <x v="9"/>
    <n v="15"/>
    <n v="36085"/>
    <n v="541275"/>
  </r>
  <r>
    <n v="768"/>
    <s v="ODR_BC_385"/>
    <x v="767"/>
    <x v="1"/>
    <x v="1"/>
    <x v="13"/>
    <n v="17"/>
    <n v="60571"/>
    <n v="1029707"/>
  </r>
  <r>
    <n v="769"/>
    <s v="ODR_CD_386"/>
    <x v="768"/>
    <x v="1"/>
    <x v="1"/>
    <x v="11"/>
    <n v="18"/>
    <n v="19715"/>
    <n v="354870"/>
  </r>
  <r>
    <n v="770"/>
    <s v="ODR_BC_386"/>
    <x v="769"/>
    <x v="2"/>
    <x v="0"/>
    <x v="13"/>
    <n v="6"/>
    <n v="10750"/>
    <n v="64500"/>
  </r>
  <r>
    <n v="771"/>
    <s v="ODR_CD_387"/>
    <x v="770"/>
    <x v="2"/>
    <x v="0"/>
    <x v="9"/>
    <n v="17"/>
    <n v="40903"/>
    <n v="695351"/>
  </r>
  <r>
    <n v="772"/>
    <s v="ODR_BC_387"/>
    <x v="771"/>
    <x v="2"/>
    <x v="2"/>
    <x v="11"/>
    <n v="18"/>
    <n v="37093"/>
    <n v="667674"/>
  </r>
  <r>
    <n v="773"/>
    <s v="ODR_CD_388"/>
    <x v="772"/>
    <x v="2"/>
    <x v="1"/>
    <x v="11"/>
    <n v="8"/>
    <n v="39314"/>
    <n v="314512"/>
  </r>
  <r>
    <n v="774"/>
    <s v="ODR_BC_388"/>
    <x v="773"/>
    <x v="1"/>
    <x v="5"/>
    <x v="13"/>
    <n v="9"/>
    <n v="53225"/>
    <n v="479025"/>
  </r>
  <r>
    <n v="775"/>
    <s v="ODR_CD_389"/>
    <x v="774"/>
    <x v="3"/>
    <x v="3"/>
    <x v="9"/>
    <n v="6"/>
    <n v="40179"/>
    <n v="241074"/>
  </r>
  <r>
    <n v="776"/>
    <s v="ODR_BC_389"/>
    <x v="775"/>
    <x v="2"/>
    <x v="0"/>
    <x v="10"/>
    <n v="5"/>
    <n v="30338"/>
    <n v="151690"/>
  </r>
  <r>
    <n v="777"/>
    <s v="ODR_CD_390"/>
    <x v="776"/>
    <x v="2"/>
    <x v="3"/>
    <x v="9"/>
    <n v="12"/>
    <n v="74681"/>
    <n v="896172"/>
  </r>
  <r>
    <n v="778"/>
    <s v="ODR_BC_390"/>
    <x v="777"/>
    <x v="1"/>
    <x v="3"/>
    <x v="8"/>
    <n v="11"/>
    <n v="37101"/>
    <n v="408111"/>
  </r>
  <r>
    <n v="779"/>
    <s v="ODR_CD_391"/>
    <x v="778"/>
    <x v="1"/>
    <x v="2"/>
    <x v="12"/>
    <n v="1"/>
    <n v="7775"/>
    <n v="7775"/>
  </r>
  <r>
    <n v="780"/>
    <s v="ODR_BC_391"/>
    <x v="779"/>
    <x v="0"/>
    <x v="1"/>
    <x v="10"/>
    <n v="11"/>
    <n v="50619"/>
    <n v="556809"/>
  </r>
  <r>
    <n v="781"/>
    <s v="ODR_CD_392"/>
    <x v="780"/>
    <x v="2"/>
    <x v="0"/>
    <x v="11"/>
    <n v="19"/>
    <n v="50838"/>
    <n v="965922"/>
  </r>
  <r>
    <n v="782"/>
    <s v="ODR_BC_392"/>
    <x v="781"/>
    <x v="0"/>
    <x v="3"/>
    <x v="10"/>
    <n v="9"/>
    <n v="24539"/>
    <n v="220851"/>
  </r>
  <r>
    <n v="783"/>
    <s v="ODR_CD_393"/>
    <x v="782"/>
    <x v="1"/>
    <x v="0"/>
    <x v="11"/>
    <n v="2"/>
    <n v="62124"/>
    <n v="124248"/>
  </r>
  <r>
    <n v="784"/>
    <s v="ODR_BC_393"/>
    <x v="783"/>
    <x v="1"/>
    <x v="5"/>
    <x v="11"/>
    <n v="12"/>
    <n v="70149"/>
    <n v="841788"/>
  </r>
  <r>
    <n v="785"/>
    <s v="ODR_CD_394"/>
    <x v="784"/>
    <x v="3"/>
    <x v="2"/>
    <x v="10"/>
    <n v="4"/>
    <n v="31616"/>
    <n v="126464"/>
  </r>
  <r>
    <n v="786"/>
    <s v="ODR_BC_394"/>
    <x v="785"/>
    <x v="2"/>
    <x v="5"/>
    <x v="11"/>
    <n v="4"/>
    <n v="59567"/>
    <n v="238268"/>
  </r>
  <r>
    <n v="787"/>
    <s v="ODR_CD_395"/>
    <x v="786"/>
    <x v="0"/>
    <x v="0"/>
    <x v="11"/>
    <n v="18"/>
    <n v="42099"/>
    <n v="757782"/>
  </r>
  <r>
    <n v="788"/>
    <s v="ODR_BC_395"/>
    <x v="787"/>
    <x v="1"/>
    <x v="0"/>
    <x v="8"/>
    <n v="15"/>
    <n v="66799"/>
    <n v="1001985"/>
  </r>
  <r>
    <n v="789"/>
    <s v="ODR_CD_396"/>
    <x v="788"/>
    <x v="1"/>
    <x v="1"/>
    <x v="9"/>
    <n v="19"/>
    <n v="30479"/>
    <n v="579101"/>
  </r>
  <r>
    <n v="790"/>
    <s v="ODR_BC_396"/>
    <x v="789"/>
    <x v="0"/>
    <x v="3"/>
    <x v="9"/>
    <n v="13"/>
    <n v="51172"/>
    <n v="665236"/>
  </r>
  <r>
    <n v="791"/>
    <s v="ODR_CD_397"/>
    <x v="790"/>
    <x v="3"/>
    <x v="3"/>
    <x v="12"/>
    <n v="19"/>
    <n v="60863"/>
    <n v="1156397"/>
  </r>
  <r>
    <n v="792"/>
    <s v="ODR_BC_397"/>
    <x v="791"/>
    <x v="1"/>
    <x v="5"/>
    <x v="12"/>
    <n v="17"/>
    <n v="47043"/>
    <n v="799731"/>
  </r>
  <r>
    <n v="793"/>
    <s v="ODR_CD_398"/>
    <x v="792"/>
    <x v="2"/>
    <x v="2"/>
    <x v="8"/>
    <n v="6"/>
    <n v="20408"/>
    <n v="122448"/>
  </r>
  <r>
    <n v="794"/>
    <s v="ODR_BC_398"/>
    <x v="793"/>
    <x v="1"/>
    <x v="3"/>
    <x v="12"/>
    <n v="16"/>
    <n v="62980"/>
    <n v="1007680"/>
  </r>
  <r>
    <n v="795"/>
    <s v="ODR_CD_399"/>
    <x v="794"/>
    <x v="2"/>
    <x v="1"/>
    <x v="10"/>
    <n v="12"/>
    <n v="21351"/>
    <n v="256212"/>
  </r>
  <r>
    <n v="796"/>
    <s v="ODR_BC_399"/>
    <x v="795"/>
    <x v="0"/>
    <x v="5"/>
    <x v="13"/>
    <n v="19"/>
    <n v="9131"/>
    <n v="173489"/>
  </r>
  <r>
    <n v="797"/>
    <s v="ODR_CD_400"/>
    <x v="796"/>
    <x v="2"/>
    <x v="5"/>
    <x v="13"/>
    <n v="5"/>
    <n v="49825"/>
    <n v="249125"/>
  </r>
  <r>
    <n v="798"/>
    <s v="ODR_BC_400"/>
    <x v="797"/>
    <x v="0"/>
    <x v="1"/>
    <x v="13"/>
    <n v="17"/>
    <n v="16349"/>
    <n v="277933"/>
  </r>
  <r>
    <n v="799"/>
    <s v="ODR_CD_401"/>
    <x v="798"/>
    <x v="2"/>
    <x v="2"/>
    <x v="8"/>
    <n v="1"/>
    <n v="65931"/>
    <n v="65931"/>
  </r>
  <r>
    <n v="800"/>
    <s v="ODR_BC_401"/>
    <x v="799"/>
    <x v="0"/>
    <x v="1"/>
    <x v="8"/>
    <n v="10"/>
    <n v="49254"/>
    <n v="492540"/>
  </r>
  <r>
    <n v="801"/>
    <s v="ODR_CD_402"/>
    <x v="800"/>
    <x v="2"/>
    <x v="2"/>
    <x v="11"/>
    <n v="15"/>
    <n v="43225"/>
    <n v="648375"/>
  </r>
  <r>
    <n v="802"/>
    <s v="ODR_BC_402"/>
    <x v="801"/>
    <x v="3"/>
    <x v="1"/>
    <x v="13"/>
    <n v="11"/>
    <n v="17453"/>
    <n v="191983"/>
  </r>
  <r>
    <n v="803"/>
    <s v="ODR_CD_403"/>
    <x v="802"/>
    <x v="2"/>
    <x v="1"/>
    <x v="10"/>
    <n v="13"/>
    <n v="23814"/>
    <n v="309582"/>
  </r>
  <r>
    <n v="804"/>
    <s v="ODR_BC_403"/>
    <x v="803"/>
    <x v="2"/>
    <x v="0"/>
    <x v="12"/>
    <n v="5"/>
    <n v="23263"/>
    <n v="116315"/>
  </r>
  <r>
    <n v="805"/>
    <s v="ODR_CD_404"/>
    <x v="804"/>
    <x v="3"/>
    <x v="4"/>
    <x v="10"/>
    <n v="1"/>
    <n v="20735"/>
    <n v="20735"/>
  </r>
  <r>
    <n v="806"/>
    <s v="ODR_BC_404"/>
    <x v="805"/>
    <x v="1"/>
    <x v="1"/>
    <x v="12"/>
    <n v="12"/>
    <n v="20830"/>
    <n v="249960"/>
  </r>
  <r>
    <n v="807"/>
    <s v="ODR_CD_405"/>
    <x v="806"/>
    <x v="1"/>
    <x v="1"/>
    <x v="13"/>
    <n v="11"/>
    <n v="52893"/>
    <n v="581823"/>
  </r>
  <r>
    <n v="808"/>
    <s v="ODR_BC_405"/>
    <x v="807"/>
    <x v="2"/>
    <x v="3"/>
    <x v="13"/>
    <n v="17"/>
    <n v="49673"/>
    <n v="844441"/>
  </r>
  <r>
    <n v="809"/>
    <s v="ODR_CD_406"/>
    <x v="808"/>
    <x v="3"/>
    <x v="4"/>
    <x v="13"/>
    <n v="4"/>
    <n v="50066"/>
    <n v="200264"/>
  </r>
  <r>
    <n v="810"/>
    <s v="ODR_BC_406"/>
    <x v="809"/>
    <x v="2"/>
    <x v="3"/>
    <x v="8"/>
    <n v="15"/>
    <n v="8373"/>
    <n v="125595"/>
  </r>
  <r>
    <n v="811"/>
    <s v="ODR_CD_407"/>
    <x v="810"/>
    <x v="0"/>
    <x v="4"/>
    <x v="12"/>
    <n v="9"/>
    <n v="15335"/>
    <n v="138015"/>
  </r>
  <r>
    <n v="812"/>
    <s v="ODR_BC_407"/>
    <x v="811"/>
    <x v="0"/>
    <x v="3"/>
    <x v="8"/>
    <n v="19"/>
    <n v="28741"/>
    <n v="546079"/>
  </r>
  <r>
    <n v="813"/>
    <s v="ODR_CD_408"/>
    <x v="812"/>
    <x v="2"/>
    <x v="1"/>
    <x v="8"/>
    <n v="19"/>
    <n v="15692"/>
    <n v="298148"/>
  </r>
  <r>
    <n v="814"/>
    <s v="ODR_BC_408"/>
    <x v="813"/>
    <x v="1"/>
    <x v="1"/>
    <x v="9"/>
    <n v="12"/>
    <n v="52295"/>
    <n v="627540"/>
  </r>
  <r>
    <n v="815"/>
    <s v="ODR_CD_409"/>
    <x v="814"/>
    <x v="1"/>
    <x v="0"/>
    <x v="10"/>
    <n v="5"/>
    <n v="50541"/>
    <n v="252705"/>
  </r>
  <r>
    <n v="816"/>
    <s v="ODR_BC_409"/>
    <x v="815"/>
    <x v="2"/>
    <x v="3"/>
    <x v="10"/>
    <n v="10"/>
    <n v="39057"/>
    <n v="390570"/>
  </r>
  <r>
    <n v="817"/>
    <s v="ODR_CD_410"/>
    <x v="816"/>
    <x v="2"/>
    <x v="2"/>
    <x v="11"/>
    <n v="17"/>
    <n v="71983"/>
    <n v="1223711"/>
  </r>
  <r>
    <n v="818"/>
    <s v="ODR_BC_410"/>
    <x v="817"/>
    <x v="0"/>
    <x v="0"/>
    <x v="8"/>
    <n v="5"/>
    <n v="24583"/>
    <n v="122915"/>
  </r>
  <r>
    <n v="819"/>
    <s v="ODR_CD_411"/>
    <x v="818"/>
    <x v="1"/>
    <x v="3"/>
    <x v="12"/>
    <n v="16"/>
    <n v="27765"/>
    <n v="444240"/>
  </r>
  <r>
    <n v="820"/>
    <s v="ODR_BC_411"/>
    <x v="819"/>
    <x v="2"/>
    <x v="3"/>
    <x v="9"/>
    <n v="7"/>
    <n v="64287"/>
    <n v="450009"/>
  </r>
  <r>
    <n v="821"/>
    <s v="ODR_CD_412"/>
    <x v="820"/>
    <x v="0"/>
    <x v="0"/>
    <x v="9"/>
    <n v="9"/>
    <n v="28906"/>
    <n v="260154"/>
  </r>
  <r>
    <n v="822"/>
    <s v="ODR_BC_412"/>
    <x v="821"/>
    <x v="1"/>
    <x v="1"/>
    <x v="10"/>
    <n v="3"/>
    <n v="51525"/>
    <n v="154575"/>
  </r>
  <r>
    <n v="823"/>
    <s v="ODR_CD_413"/>
    <x v="822"/>
    <x v="3"/>
    <x v="3"/>
    <x v="8"/>
    <n v="15"/>
    <n v="43230"/>
    <n v="648450"/>
  </r>
  <r>
    <n v="824"/>
    <s v="ODR_BC_413"/>
    <x v="823"/>
    <x v="0"/>
    <x v="1"/>
    <x v="11"/>
    <n v="16"/>
    <n v="24520"/>
    <n v="392320"/>
  </r>
  <r>
    <n v="825"/>
    <s v="ODR_CD_414"/>
    <x v="824"/>
    <x v="1"/>
    <x v="0"/>
    <x v="8"/>
    <n v="18"/>
    <n v="56934"/>
    <n v="1024812"/>
  </r>
  <r>
    <n v="826"/>
    <s v="ODR_BC_414"/>
    <x v="825"/>
    <x v="1"/>
    <x v="1"/>
    <x v="13"/>
    <n v="14"/>
    <n v="30566"/>
    <n v="427924"/>
  </r>
  <r>
    <n v="827"/>
    <s v="ODR_CD_415"/>
    <x v="826"/>
    <x v="0"/>
    <x v="4"/>
    <x v="8"/>
    <n v="3"/>
    <n v="35134"/>
    <n v="105402"/>
  </r>
  <r>
    <n v="828"/>
    <s v="ODR_BC_415"/>
    <x v="827"/>
    <x v="3"/>
    <x v="2"/>
    <x v="13"/>
    <n v="12"/>
    <n v="15345"/>
    <n v="184140"/>
  </r>
  <r>
    <n v="829"/>
    <s v="ODR_CD_416"/>
    <x v="828"/>
    <x v="0"/>
    <x v="3"/>
    <x v="13"/>
    <n v="9"/>
    <n v="46185"/>
    <n v="415665"/>
  </r>
  <r>
    <n v="830"/>
    <s v="ODR_BC_416"/>
    <x v="829"/>
    <x v="1"/>
    <x v="2"/>
    <x v="11"/>
    <n v="7"/>
    <n v="38455"/>
    <n v="269185"/>
  </r>
  <r>
    <n v="831"/>
    <s v="ODR_CD_417"/>
    <x v="830"/>
    <x v="2"/>
    <x v="1"/>
    <x v="12"/>
    <n v="9"/>
    <n v="33018"/>
    <n v="297162"/>
  </r>
  <r>
    <n v="832"/>
    <s v="ODR_BC_417"/>
    <x v="831"/>
    <x v="2"/>
    <x v="3"/>
    <x v="10"/>
    <n v="13"/>
    <n v="59219"/>
    <n v="769847"/>
  </r>
  <r>
    <n v="833"/>
    <s v="ODR_CD_418"/>
    <x v="832"/>
    <x v="0"/>
    <x v="1"/>
    <x v="8"/>
    <n v="18"/>
    <n v="50991"/>
    <n v="917838"/>
  </r>
  <r>
    <n v="834"/>
    <s v="ODR_BC_418"/>
    <x v="833"/>
    <x v="1"/>
    <x v="4"/>
    <x v="13"/>
    <n v="5"/>
    <n v="14486"/>
    <n v="72430"/>
  </r>
  <r>
    <n v="835"/>
    <s v="ODR_CD_419"/>
    <x v="834"/>
    <x v="2"/>
    <x v="0"/>
    <x v="8"/>
    <n v="13"/>
    <n v="43862"/>
    <n v="570206"/>
  </r>
  <r>
    <n v="836"/>
    <s v="ODR_BC_419"/>
    <x v="835"/>
    <x v="1"/>
    <x v="3"/>
    <x v="12"/>
    <n v="4"/>
    <n v="63870"/>
    <n v="255480"/>
  </r>
  <r>
    <n v="837"/>
    <s v="ODR_CD_420"/>
    <x v="836"/>
    <x v="0"/>
    <x v="4"/>
    <x v="10"/>
    <n v="2"/>
    <n v="48856"/>
    <n v="97712"/>
  </r>
  <r>
    <n v="838"/>
    <s v="ODR_BC_420"/>
    <x v="837"/>
    <x v="2"/>
    <x v="4"/>
    <x v="12"/>
    <n v="16"/>
    <n v="36379"/>
    <n v="582064"/>
  </r>
  <r>
    <n v="839"/>
    <s v="ODR_CD_421"/>
    <x v="838"/>
    <x v="1"/>
    <x v="3"/>
    <x v="10"/>
    <n v="9"/>
    <n v="69729"/>
    <n v="627561"/>
  </r>
  <r>
    <n v="840"/>
    <s v="ODR_BC_421"/>
    <x v="839"/>
    <x v="2"/>
    <x v="1"/>
    <x v="9"/>
    <n v="9"/>
    <n v="33378"/>
    <n v="300402"/>
  </r>
  <r>
    <n v="841"/>
    <s v="ODR_CD_422"/>
    <x v="840"/>
    <x v="0"/>
    <x v="4"/>
    <x v="10"/>
    <n v="6"/>
    <n v="59353"/>
    <n v="356118"/>
  </r>
  <r>
    <n v="842"/>
    <s v="ODR_BC_422"/>
    <x v="841"/>
    <x v="1"/>
    <x v="2"/>
    <x v="11"/>
    <n v="11"/>
    <n v="54996"/>
    <n v="604956"/>
  </r>
  <r>
    <n v="843"/>
    <s v="ODR_CD_423"/>
    <x v="842"/>
    <x v="2"/>
    <x v="4"/>
    <x v="12"/>
    <n v="1"/>
    <n v="19031"/>
    <n v="19031"/>
  </r>
  <r>
    <n v="844"/>
    <s v="ODR_BC_423"/>
    <x v="843"/>
    <x v="0"/>
    <x v="1"/>
    <x v="13"/>
    <n v="4"/>
    <n v="70982"/>
    <n v="283928"/>
  </r>
  <r>
    <n v="845"/>
    <s v="ODR_CD_424"/>
    <x v="844"/>
    <x v="2"/>
    <x v="1"/>
    <x v="9"/>
    <n v="13"/>
    <n v="41683"/>
    <n v="541879"/>
  </r>
  <r>
    <n v="846"/>
    <s v="ODR_BC_424"/>
    <x v="845"/>
    <x v="2"/>
    <x v="2"/>
    <x v="11"/>
    <n v="13"/>
    <n v="22618"/>
    <n v="294034"/>
  </r>
  <r>
    <n v="847"/>
    <s v="ODR_CD_425"/>
    <x v="846"/>
    <x v="3"/>
    <x v="4"/>
    <x v="8"/>
    <n v="13"/>
    <n v="11587"/>
    <n v="150631"/>
  </r>
  <r>
    <n v="848"/>
    <s v="ODR_BC_425"/>
    <x v="847"/>
    <x v="3"/>
    <x v="1"/>
    <x v="12"/>
    <n v="2"/>
    <n v="67790"/>
    <n v="135580"/>
  </r>
  <r>
    <n v="849"/>
    <s v="ODR_CD_426"/>
    <x v="848"/>
    <x v="0"/>
    <x v="3"/>
    <x v="13"/>
    <n v="9"/>
    <n v="36480"/>
    <n v="328320"/>
  </r>
  <r>
    <n v="850"/>
    <s v="ODR_BC_426"/>
    <x v="849"/>
    <x v="3"/>
    <x v="0"/>
    <x v="10"/>
    <n v="8"/>
    <n v="25527"/>
    <n v="204216"/>
  </r>
  <r>
    <n v="851"/>
    <s v="ODR_CD_427"/>
    <x v="850"/>
    <x v="0"/>
    <x v="0"/>
    <x v="13"/>
    <n v="7"/>
    <n v="28569"/>
    <n v="199983"/>
  </r>
  <r>
    <n v="852"/>
    <s v="ODR_BC_427"/>
    <x v="851"/>
    <x v="3"/>
    <x v="0"/>
    <x v="8"/>
    <n v="4"/>
    <n v="16151"/>
    <n v="64604"/>
  </r>
  <r>
    <n v="853"/>
    <s v="ODR_CD_428"/>
    <x v="852"/>
    <x v="2"/>
    <x v="4"/>
    <x v="14"/>
    <n v="18"/>
    <n v="64174"/>
    <n v="1155132"/>
  </r>
  <r>
    <n v="854"/>
    <s v="ODR_BC_428"/>
    <x v="853"/>
    <x v="0"/>
    <x v="2"/>
    <x v="14"/>
    <n v="3"/>
    <n v="49739"/>
    <n v="149217"/>
  </r>
  <r>
    <n v="855"/>
    <s v="ODR_CD_429"/>
    <x v="854"/>
    <x v="0"/>
    <x v="1"/>
    <x v="12"/>
    <n v="6"/>
    <n v="37954"/>
    <n v="227724"/>
  </r>
  <r>
    <n v="856"/>
    <s v="ODR_BC_429"/>
    <x v="855"/>
    <x v="2"/>
    <x v="3"/>
    <x v="14"/>
    <n v="12"/>
    <n v="40303"/>
    <n v="483636"/>
  </r>
  <r>
    <n v="857"/>
    <s v="ODR_CD_430"/>
    <x v="856"/>
    <x v="0"/>
    <x v="3"/>
    <x v="12"/>
    <n v="12"/>
    <n v="39700"/>
    <n v="476400"/>
  </r>
  <r>
    <n v="858"/>
    <s v="ODR_BC_430"/>
    <x v="857"/>
    <x v="0"/>
    <x v="4"/>
    <x v="12"/>
    <n v="8"/>
    <n v="72568"/>
    <n v="580544"/>
  </r>
  <r>
    <n v="859"/>
    <s v="ODR_CD_431"/>
    <x v="858"/>
    <x v="3"/>
    <x v="0"/>
    <x v="12"/>
    <n v="1"/>
    <n v="71788"/>
    <n v="71788"/>
  </r>
  <r>
    <n v="860"/>
    <s v="ODR_BC_431"/>
    <x v="859"/>
    <x v="0"/>
    <x v="4"/>
    <x v="10"/>
    <n v="4"/>
    <n v="42842"/>
    <n v="171368"/>
  </r>
  <r>
    <n v="861"/>
    <s v="ODR_CD_432"/>
    <x v="860"/>
    <x v="1"/>
    <x v="2"/>
    <x v="11"/>
    <n v="11"/>
    <n v="18900"/>
    <n v="207900"/>
  </r>
  <r>
    <n v="862"/>
    <s v="ODR_BC_432"/>
    <x v="861"/>
    <x v="2"/>
    <x v="2"/>
    <x v="12"/>
    <n v="3"/>
    <n v="6881"/>
    <n v="20643"/>
  </r>
  <r>
    <n v="863"/>
    <s v="ODR_CD_433"/>
    <x v="862"/>
    <x v="3"/>
    <x v="1"/>
    <x v="12"/>
    <n v="13"/>
    <n v="38037"/>
    <n v="494481"/>
  </r>
  <r>
    <n v="864"/>
    <s v="ODR_BC_433"/>
    <x v="863"/>
    <x v="3"/>
    <x v="1"/>
    <x v="11"/>
    <n v="17"/>
    <n v="6630"/>
    <n v="112710"/>
  </r>
  <r>
    <n v="865"/>
    <s v="ODR_CD_434"/>
    <x v="864"/>
    <x v="1"/>
    <x v="2"/>
    <x v="13"/>
    <n v="10"/>
    <n v="25789"/>
    <n v="257890"/>
  </r>
  <r>
    <n v="866"/>
    <s v="ODR_BC_434"/>
    <x v="865"/>
    <x v="2"/>
    <x v="2"/>
    <x v="12"/>
    <n v="12"/>
    <n v="51151"/>
    <n v="613812"/>
  </r>
  <r>
    <n v="867"/>
    <s v="ODR_CD_435"/>
    <x v="866"/>
    <x v="2"/>
    <x v="2"/>
    <x v="10"/>
    <n v="15"/>
    <n v="53920"/>
    <n v="808800"/>
  </r>
  <r>
    <n v="868"/>
    <s v="ODR_BC_435"/>
    <x v="867"/>
    <x v="3"/>
    <x v="4"/>
    <x v="14"/>
    <n v="10"/>
    <n v="72231"/>
    <n v="722310"/>
  </r>
  <r>
    <n v="869"/>
    <s v="ODR_CD_436"/>
    <x v="868"/>
    <x v="0"/>
    <x v="2"/>
    <x v="14"/>
    <n v="14"/>
    <n v="8262"/>
    <n v="115668"/>
  </r>
  <r>
    <n v="870"/>
    <s v="ODR_BC_436"/>
    <x v="869"/>
    <x v="3"/>
    <x v="3"/>
    <x v="8"/>
    <n v="13"/>
    <n v="71981"/>
    <n v="935753"/>
  </r>
  <r>
    <n v="871"/>
    <s v="ODR_CD_437"/>
    <x v="870"/>
    <x v="2"/>
    <x v="0"/>
    <x v="15"/>
    <n v="5"/>
    <n v="59722"/>
    <n v="298610"/>
  </r>
  <r>
    <n v="872"/>
    <s v="ODR_BC_437"/>
    <x v="871"/>
    <x v="1"/>
    <x v="2"/>
    <x v="14"/>
    <n v="6"/>
    <n v="55818"/>
    <n v="334908"/>
  </r>
  <r>
    <n v="873"/>
    <s v="ODR_CD_438"/>
    <x v="872"/>
    <x v="3"/>
    <x v="0"/>
    <x v="14"/>
    <n v="2"/>
    <n v="34932"/>
    <n v="69864"/>
  </r>
  <r>
    <n v="874"/>
    <s v="ODR_BC_438"/>
    <x v="873"/>
    <x v="2"/>
    <x v="4"/>
    <x v="10"/>
    <n v="17"/>
    <n v="11901"/>
    <n v="202317"/>
  </r>
  <r>
    <n v="875"/>
    <s v="ODR_CD_439"/>
    <x v="874"/>
    <x v="3"/>
    <x v="0"/>
    <x v="11"/>
    <n v="4"/>
    <n v="13597"/>
    <n v="54388"/>
  </r>
  <r>
    <n v="876"/>
    <s v="ODR_BC_439"/>
    <x v="875"/>
    <x v="0"/>
    <x v="4"/>
    <x v="15"/>
    <n v="14"/>
    <n v="68909"/>
    <n v="964726"/>
  </r>
  <r>
    <n v="877"/>
    <s v="ODR_CD_440"/>
    <x v="876"/>
    <x v="3"/>
    <x v="3"/>
    <x v="11"/>
    <n v="10"/>
    <n v="13263"/>
    <n v="132630"/>
  </r>
  <r>
    <n v="878"/>
    <s v="ODR_BC_440"/>
    <x v="877"/>
    <x v="3"/>
    <x v="4"/>
    <x v="10"/>
    <n v="3"/>
    <n v="68293"/>
    <n v="204879"/>
  </r>
  <r>
    <n v="879"/>
    <s v="ODR_CD_441"/>
    <x v="878"/>
    <x v="2"/>
    <x v="4"/>
    <x v="14"/>
    <n v="3"/>
    <n v="30805"/>
    <n v="92415"/>
  </r>
  <r>
    <n v="880"/>
    <s v="ODR_BC_441"/>
    <x v="879"/>
    <x v="2"/>
    <x v="1"/>
    <x v="12"/>
    <n v="15"/>
    <n v="16874"/>
    <n v="253110"/>
  </r>
  <r>
    <n v="881"/>
    <s v="ODR_CD_442"/>
    <x v="880"/>
    <x v="2"/>
    <x v="2"/>
    <x v="11"/>
    <n v="6"/>
    <n v="19079"/>
    <n v="114474"/>
  </r>
  <r>
    <n v="882"/>
    <s v="ODR_BC_442"/>
    <x v="881"/>
    <x v="3"/>
    <x v="2"/>
    <x v="14"/>
    <n v="17"/>
    <n v="54850"/>
    <n v="932450"/>
  </r>
  <r>
    <n v="883"/>
    <s v="ODR_CD_443"/>
    <x v="882"/>
    <x v="0"/>
    <x v="3"/>
    <x v="14"/>
    <n v="12"/>
    <n v="14018"/>
    <n v="168216"/>
  </r>
  <r>
    <n v="884"/>
    <s v="ODR_BC_443"/>
    <x v="883"/>
    <x v="1"/>
    <x v="3"/>
    <x v="13"/>
    <n v="11"/>
    <n v="54500"/>
    <n v="599500"/>
  </r>
  <r>
    <n v="885"/>
    <s v="ODR_CD_444"/>
    <x v="884"/>
    <x v="1"/>
    <x v="2"/>
    <x v="11"/>
    <n v="4"/>
    <n v="17100"/>
    <n v="68400"/>
  </r>
  <r>
    <n v="886"/>
    <s v="ODR_BC_444"/>
    <x v="885"/>
    <x v="2"/>
    <x v="1"/>
    <x v="12"/>
    <n v="6"/>
    <n v="62021"/>
    <n v="372126"/>
  </r>
  <r>
    <n v="887"/>
    <s v="ODR_CD_445"/>
    <x v="886"/>
    <x v="2"/>
    <x v="2"/>
    <x v="11"/>
    <n v="1"/>
    <n v="24800"/>
    <n v="24800"/>
  </r>
  <r>
    <n v="888"/>
    <s v="ODR_BC_445"/>
    <x v="887"/>
    <x v="3"/>
    <x v="1"/>
    <x v="14"/>
    <n v="16"/>
    <n v="68400"/>
    <n v="1094400"/>
  </r>
  <r>
    <n v="889"/>
    <s v="ODR_CD_446"/>
    <x v="888"/>
    <x v="1"/>
    <x v="3"/>
    <x v="12"/>
    <n v="15"/>
    <n v="34437"/>
    <n v="516555"/>
  </r>
  <r>
    <n v="890"/>
    <s v="ODR_BC_446"/>
    <x v="889"/>
    <x v="2"/>
    <x v="0"/>
    <x v="10"/>
    <n v="17"/>
    <n v="51675"/>
    <n v="878475"/>
  </r>
  <r>
    <n v="891"/>
    <s v="ODR_CD_447"/>
    <x v="890"/>
    <x v="0"/>
    <x v="3"/>
    <x v="13"/>
    <n v="8"/>
    <n v="24942"/>
    <n v="199536"/>
  </r>
  <r>
    <n v="892"/>
    <s v="ODR_BC_447"/>
    <x v="891"/>
    <x v="0"/>
    <x v="3"/>
    <x v="14"/>
    <n v="12"/>
    <n v="25862"/>
    <n v="310344"/>
  </r>
  <r>
    <n v="893"/>
    <s v="ODR_CD_448"/>
    <x v="892"/>
    <x v="2"/>
    <x v="4"/>
    <x v="15"/>
    <n v="10"/>
    <n v="16669"/>
    <n v="166690"/>
  </r>
  <r>
    <n v="894"/>
    <s v="ODR_BC_448"/>
    <x v="893"/>
    <x v="2"/>
    <x v="4"/>
    <x v="15"/>
    <n v="15"/>
    <n v="58772"/>
    <n v="881580"/>
  </r>
  <r>
    <n v="895"/>
    <s v="ODR_CD_449"/>
    <x v="894"/>
    <x v="1"/>
    <x v="5"/>
    <x v="13"/>
    <n v="9"/>
    <n v="20916"/>
    <n v="188244"/>
  </r>
  <r>
    <n v="896"/>
    <s v="ODR_BC_449"/>
    <x v="895"/>
    <x v="1"/>
    <x v="5"/>
    <x v="10"/>
    <n v="2"/>
    <n v="15878"/>
    <n v="31756"/>
  </r>
  <r>
    <n v="897"/>
    <s v="ODR_CD_450"/>
    <x v="896"/>
    <x v="3"/>
    <x v="1"/>
    <x v="14"/>
    <n v="5"/>
    <n v="7985"/>
    <n v="39925"/>
  </r>
  <r>
    <n v="898"/>
    <s v="ODR_BC_450"/>
    <x v="897"/>
    <x v="1"/>
    <x v="2"/>
    <x v="11"/>
    <n v="6"/>
    <n v="46235"/>
    <n v="277410"/>
  </r>
  <r>
    <n v="899"/>
    <s v="ODR_CD_451"/>
    <x v="898"/>
    <x v="0"/>
    <x v="0"/>
    <x v="13"/>
    <n v="7"/>
    <n v="23931"/>
    <n v="167517"/>
  </r>
  <r>
    <n v="900"/>
    <s v="ODR_BC_451"/>
    <x v="899"/>
    <x v="0"/>
    <x v="3"/>
    <x v="10"/>
    <n v="1"/>
    <n v="5336"/>
    <n v="5336"/>
  </r>
  <r>
    <n v="901"/>
    <s v="ODR_CD_452"/>
    <x v="900"/>
    <x v="2"/>
    <x v="1"/>
    <x v="11"/>
    <n v="7"/>
    <n v="47933"/>
    <n v="335531"/>
  </r>
  <r>
    <n v="902"/>
    <s v="ODR_BC_452"/>
    <x v="901"/>
    <x v="1"/>
    <x v="0"/>
    <x v="15"/>
    <n v="12"/>
    <n v="50536"/>
    <n v="606432"/>
  </r>
  <r>
    <n v="903"/>
    <s v="ODR_CD_453"/>
    <x v="902"/>
    <x v="3"/>
    <x v="1"/>
    <x v="15"/>
    <n v="16"/>
    <n v="74504"/>
    <n v="1192064"/>
  </r>
  <r>
    <n v="904"/>
    <s v="ODR_BC_453"/>
    <x v="903"/>
    <x v="0"/>
    <x v="1"/>
    <x v="11"/>
    <n v="16"/>
    <n v="56148"/>
    <n v="898368"/>
  </r>
  <r>
    <n v="905"/>
    <s v="ODR_CD_454"/>
    <x v="904"/>
    <x v="0"/>
    <x v="3"/>
    <x v="13"/>
    <n v="11"/>
    <n v="21279"/>
    <n v="234069"/>
  </r>
  <r>
    <n v="906"/>
    <s v="ODR_BC_454"/>
    <x v="905"/>
    <x v="3"/>
    <x v="2"/>
    <x v="15"/>
    <n v="4"/>
    <n v="73665"/>
    <n v="294660"/>
  </r>
  <r>
    <n v="907"/>
    <s v="ODR_CD_455"/>
    <x v="906"/>
    <x v="3"/>
    <x v="5"/>
    <x v="14"/>
    <n v="13"/>
    <n v="71670"/>
    <n v="931710"/>
  </r>
  <r>
    <n v="908"/>
    <s v="ODR_BC_455"/>
    <x v="907"/>
    <x v="0"/>
    <x v="2"/>
    <x v="12"/>
    <n v="7"/>
    <n v="59028"/>
    <n v="413196"/>
  </r>
  <r>
    <n v="909"/>
    <s v="ODR_CD_456"/>
    <x v="908"/>
    <x v="0"/>
    <x v="3"/>
    <x v="11"/>
    <n v="4"/>
    <n v="23108"/>
    <n v="92432"/>
  </r>
  <r>
    <n v="910"/>
    <s v="ODR_BC_456"/>
    <x v="909"/>
    <x v="3"/>
    <x v="3"/>
    <x v="11"/>
    <n v="15"/>
    <n v="57495"/>
    <n v="862425"/>
  </r>
  <r>
    <n v="911"/>
    <s v="ODR_CD_457"/>
    <x v="910"/>
    <x v="0"/>
    <x v="3"/>
    <x v="15"/>
    <n v="19"/>
    <n v="61830"/>
    <n v="1174770"/>
  </r>
  <r>
    <n v="912"/>
    <s v="ODR_BC_457"/>
    <x v="911"/>
    <x v="2"/>
    <x v="0"/>
    <x v="13"/>
    <n v="9"/>
    <n v="57509"/>
    <n v="517581"/>
  </r>
  <r>
    <n v="913"/>
    <s v="ODR_CD_458"/>
    <x v="912"/>
    <x v="2"/>
    <x v="2"/>
    <x v="14"/>
    <n v="11"/>
    <n v="71406"/>
    <n v="785466"/>
  </r>
  <r>
    <n v="914"/>
    <s v="ODR_BC_458"/>
    <x v="913"/>
    <x v="3"/>
    <x v="2"/>
    <x v="13"/>
    <n v="8"/>
    <n v="44519"/>
    <n v="356152"/>
  </r>
  <r>
    <n v="915"/>
    <s v="ODR_CD_459"/>
    <x v="914"/>
    <x v="1"/>
    <x v="1"/>
    <x v="10"/>
    <n v="1"/>
    <n v="54649"/>
    <n v="54649"/>
  </r>
  <r>
    <n v="916"/>
    <s v="ODR_BC_459"/>
    <x v="915"/>
    <x v="3"/>
    <x v="1"/>
    <x v="10"/>
    <n v="8"/>
    <n v="39524"/>
    <n v="316192"/>
  </r>
  <r>
    <n v="917"/>
    <s v="ODR_CD_460"/>
    <x v="916"/>
    <x v="3"/>
    <x v="1"/>
    <x v="12"/>
    <n v="13"/>
    <n v="38885"/>
    <n v="505505"/>
  </r>
  <r>
    <n v="918"/>
    <s v="ODR_BC_460"/>
    <x v="917"/>
    <x v="1"/>
    <x v="3"/>
    <x v="15"/>
    <n v="4"/>
    <n v="49369"/>
    <n v="197476"/>
  </r>
  <r>
    <n v="919"/>
    <s v="ODR_CD_461"/>
    <x v="918"/>
    <x v="1"/>
    <x v="2"/>
    <x v="15"/>
    <n v="8"/>
    <n v="35676"/>
    <n v="285408"/>
  </r>
  <r>
    <n v="920"/>
    <s v="ODR_BC_461"/>
    <x v="919"/>
    <x v="1"/>
    <x v="3"/>
    <x v="15"/>
    <n v="3"/>
    <n v="69093"/>
    <n v="207279"/>
  </r>
  <r>
    <n v="921"/>
    <s v="ODR_CD_462"/>
    <x v="920"/>
    <x v="2"/>
    <x v="0"/>
    <x v="12"/>
    <n v="9"/>
    <n v="52764"/>
    <n v="474876"/>
  </r>
  <r>
    <n v="922"/>
    <s v="ODR_BC_462"/>
    <x v="921"/>
    <x v="0"/>
    <x v="1"/>
    <x v="10"/>
    <n v="2"/>
    <n v="55799"/>
    <n v="111598"/>
  </r>
  <r>
    <n v="923"/>
    <s v="ODR_CD_463"/>
    <x v="922"/>
    <x v="2"/>
    <x v="3"/>
    <x v="13"/>
    <n v="2"/>
    <n v="36923"/>
    <n v="73846"/>
  </r>
  <r>
    <n v="924"/>
    <s v="ODR_BC_463"/>
    <x v="923"/>
    <x v="0"/>
    <x v="3"/>
    <x v="12"/>
    <n v="13"/>
    <n v="52574"/>
    <n v="683462"/>
  </r>
  <r>
    <n v="925"/>
    <s v="ODR_CD_464"/>
    <x v="924"/>
    <x v="2"/>
    <x v="0"/>
    <x v="12"/>
    <n v="15"/>
    <n v="48391"/>
    <n v="725865"/>
  </r>
  <r>
    <n v="926"/>
    <s v="ODR_BC_464"/>
    <x v="925"/>
    <x v="0"/>
    <x v="5"/>
    <x v="13"/>
    <n v="12"/>
    <n v="58664"/>
    <n v="703968"/>
  </r>
  <r>
    <n v="927"/>
    <s v="ODR_CD_465"/>
    <x v="926"/>
    <x v="2"/>
    <x v="2"/>
    <x v="15"/>
    <n v="4"/>
    <n v="72384"/>
    <n v="289536"/>
  </r>
  <r>
    <n v="928"/>
    <s v="ODR_BC_465"/>
    <x v="927"/>
    <x v="1"/>
    <x v="5"/>
    <x v="14"/>
    <n v="8"/>
    <n v="36027"/>
    <n v="288216"/>
  </r>
  <r>
    <n v="929"/>
    <s v="ODR_CD_466"/>
    <x v="928"/>
    <x v="3"/>
    <x v="1"/>
    <x v="13"/>
    <n v="9"/>
    <n v="40464"/>
    <n v="364176"/>
  </r>
  <r>
    <n v="930"/>
    <s v="ODR_BC_466"/>
    <x v="929"/>
    <x v="2"/>
    <x v="3"/>
    <x v="10"/>
    <n v="5"/>
    <n v="39485"/>
    <n v="197425"/>
  </r>
  <r>
    <n v="931"/>
    <s v="ODR_CD_467"/>
    <x v="930"/>
    <x v="0"/>
    <x v="0"/>
    <x v="11"/>
    <n v="18"/>
    <n v="24456"/>
    <n v="440208"/>
  </r>
  <r>
    <n v="932"/>
    <s v="ODR_BC_467"/>
    <x v="931"/>
    <x v="1"/>
    <x v="0"/>
    <x v="11"/>
    <n v="11"/>
    <n v="40554"/>
    <n v="446094"/>
  </r>
  <r>
    <n v="933"/>
    <s v="ODR_CD_468"/>
    <x v="932"/>
    <x v="2"/>
    <x v="2"/>
    <x v="12"/>
    <n v="15"/>
    <n v="51922"/>
    <n v="778830"/>
  </r>
  <r>
    <n v="934"/>
    <s v="ODR_BC_468"/>
    <x v="933"/>
    <x v="2"/>
    <x v="5"/>
    <x v="11"/>
    <n v="9"/>
    <n v="18409"/>
    <n v="165681"/>
  </r>
  <r>
    <n v="935"/>
    <s v="ODR_CD_469"/>
    <x v="934"/>
    <x v="1"/>
    <x v="2"/>
    <x v="14"/>
    <n v="17"/>
    <n v="74327"/>
    <n v="1263559"/>
  </r>
  <r>
    <n v="936"/>
    <s v="ODR_BC_469"/>
    <x v="935"/>
    <x v="2"/>
    <x v="3"/>
    <x v="15"/>
    <n v="12"/>
    <n v="41639"/>
    <n v="499668"/>
  </r>
  <r>
    <n v="937"/>
    <s v="ODR_CD_470"/>
    <x v="936"/>
    <x v="3"/>
    <x v="2"/>
    <x v="0"/>
    <n v="7"/>
    <n v="68627"/>
    <n v="480389"/>
  </r>
  <r>
    <n v="938"/>
    <s v="ODR_BC_470"/>
    <x v="937"/>
    <x v="2"/>
    <x v="0"/>
    <x v="14"/>
    <n v="10"/>
    <n v="24692"/>
    <n v="246920"/>
  </r>
  <r>
    <n v="939"/>
    <s v="ODR_CD_471"/>
    <x v="938"/>
    <x v="3"/>
    <x v="0"/>
    <x v="8"/>
    <n v="10"/>
    <n v="59200"/>
    <n v="592000"/>
  </r>
  <r>
    <n v="940"/>
    <s v="ODR_BC_471"/>
    <x v="939"/>
    <x v="3"/>
    <x v="1"/>
    <x v="0"/>
    <n v="13"/>
    <n v="62415"/>
    <n v="811395"/>
  </r>
  <r>
    <n v="941"/>
    <s v="ODR_CD_472"/>
    <x v="940"/>
    <x v="1"/>
    <x v="1"/>
    <x v="15"/>
    <n v="19"/>
    <n v="23074"/>
    <n v="438406"/>
  </r>
  <r>
    <n v="942"/>
    <s v="ODR_BC_472"/>
    <x v="941"/>
    <x v="2"/>
    <x v="3"/>
    <x v="12"/>
    <n v="11"/>
    <n v="20549"/>
    <n v="226039"/>
  </r>
  <r>
    <n v="943"/>
    <s v="ODR_CD_473"/>
    <x v="942"/>
    <x v="1"/>
    <x v="5"/>
    <x v="11"/>
    <n v="13"/>
    <n v="34963"/>
    <n v="454519"/>
  </r>
  <r>
    <n v="944"/>
    <s v="ODR_BC_473"/>
    <x v="943"/>
    <x v="2"/>
    <x v="2"/>
    <x v="15"/>
    <n v="8"/>
    <n v="57265"/>
    <n v="458120"/>
  </r>
  <r>
    <n v="945"/>
    <s v="ODR_CD_474"/>
    <x v="944"/>
    <x v="2"/>
    <x v="3"/>
    <x v="14"/>
    <n v="8"/>
    <n v="21061"/>
    <n v="168488"/>
  </r>
  <r>
    <n v="946"/>
    <s v="ODR_BC_474"/>
    <x v="945"/>
    <x v="0"/>
    <x v="1"/>
    <x v="12"/>
    <n v="4"/>
    <n v="63226"/>
    <n v="252904"/>
  </r>
  <r>
    <n v="947"/>
    <s v="ODR_CD_475"/>
    <x v="946"/>
    <x v="2"/>
    <x v="2"/>
    <x v="14"/>
    <n v="15"/>
    <n v="33810"/>
    <n v="507150"/>
  </r>
  <r>
    <n v="948"/>
    <s v="ODR_BC_475"/>
    <x v="947"/>
    <x v="1"/>
    <x v="1"/>
    <x v="12"/>
    <n v="11"/>
    <n v="65006"/>
    <n v="715066"/>
  </r>
  <r>
    <n v="949"/>
    <s v="ODR_CD_476"/>
    <x v="948"/>
    <x v="3"/>
    <x v="2"/>
    <x v="14"/>
    <n v="11"/>
    <n v="27800"/>
    <n v="305800"/>
  </r>
  <r>
    <n v="950"/>
    <s v="ODR_BC_476"/>
    <x v="949"/>
    <x v="2"/>
    <x v="4"/>
    <x v="15"/>
    <n v="1"/>
    <n v="74460"/>
    <n v="74460"/>
  </r>
  <r>
    <n v="951"/>
    <s v="ODR_CD_477"/>
    <x v="950"/>
    <x v="0"/>
    <x v="3"/>
    <x v="12"/>
    <n v="17"/>
    <n v="62767"/>
    <n v="1067039"/>
  </r>
  <r>
    <n v="952"/>
    <s v="ODR_BC_477"/>
    <x v="951"/>
    <x v="1"/>
    <x v="2"/>
    <x v="12"/>
    <n v="15"/>
    <n v="33054"/>
    <n v="495810"/>
  </r>
  <r>
    <n v="953"/>
    <s v="ODR_CD_478"/>
    <x v="952"/>
    <x v="2"/>
    <x v="0"/>
    <x v="10"/>
    <n v="6"/>
    <n v="50397"/>
    <n v="302382"/>
  </r>
  <r>
    <n v="954"/>
    <s v="ODR_BC_478"/>
    <x v="953"/>
    <x v="1"/>
    <x v="0"/>
    <x v="10"/>
    <n v="15"/>
    <n v="18233"/>
    <n v="273495"/>
  </r>
  <r>
    <n v="955"/>
    <s v="ODR_CD_479"/>
    <x v="954"/>
    <x v="0"/>
    <x v="2"/>
    <x v="13"/>
    <n v="9"/>
    <n v="30068"/>
    <n v="270612"/>
  </r>
  <r>
    <n v="956"/>
    <s v="ODR_BC_479"/>
    <x v="955"/>
    <x v="0"/>
    <x v="2"/>
    <x v="14"/>
    <n v="14"/>
    <n v="70727"/>
    <n v="990178"/>
  </r>
  <r>
    <n v="957"/>
    <s v="ODR_CD_480"/>
    <x v="956"/>
    <x v="1"/>
    <x v="2"/>
    <x v="10"/>
    <n v="18"/>
    <n v="30832"/>
    <n v="554976"/>
  </r>
  <r>
    <n v="958"/>
    <s v="ODR_BC_480"/>
    <x v="957"/>
    <x v="2"/>
    <x v="0"/>
    <x v="13"/>
    <n v="17"/>
    <n v="18682"/>
    <n v="317594"/>
  </r>
  <r>
    <n v="959"/>
    <s v="ODR_CD_481"/>
    <x v="958"/>
    <x v="3"/>
    <x v="0"/>
    <x v="10"/>
    <n v="18"/>
    <n v="28383"/>
    <n v="510894"/>
  </r>
  <r>
    <n v="960"/>
    <s v="ODR_BC_481"/>
    <x v="959"/>
    <x v="0"/>
    <x v="2"/>
    <x v="14"/>
    <n v="5"/>
    <n v="63160"/>
    <n v="315800"/>
  </r>
  <r>
    <n v="961"/>
    <s v="ODR_CD_482"/>
    <x v="960"/>
    <x v="2"/>
    <x v="1"/>
    <x v="12"/>
    <n v="9"/>
    <n v="28666"/>
    <n v="257994"/>
  </r>
  <r>
    <n v="962"/>
    <s v="ODR_BC_482"/>
    <x v="961"/>
    <x v="2"/>
    <x v="1"/>
    <x v="11"/>
    <n v="11"/>
    <n v="63817"/>
    <n v="701987"/>
  </r>
  <r>
    <n v="963"/>
    <s v="ODR_CD_483"/>
    <x v="962"/>
    <x v="3"/>
    <x v="4"/>
    <x v="14"/>
    <n v="1"/>
    <n v="39642"/>
    <n v="39642"/>
  </r>
  <r>
    <n v="964"/>
    <s v="ODR_BC_483"/>
    <x v="963"/>
    <x v="0"/>
    <x v="3"/>
    <x v="15"/>
    <n v="18"/>
    <n v="46830"/>
    <n v="842940"/>
  </r>
  <r>
    <n v="965"/>
    <s v="ODR_CD_484"/>
    <x v="964"/>
    <x v="0"/>
    <x v="1"/>
    <x v="10"/>
    <n v="6"/>
    <n v="15234"/>
    <n v="91404"/>
  </r>
  <r>
    <n v="966"/>
    <s v="ODR_BC_484"/>
    <x v="965"/>
    <x v="2"/>
    <x v="0"/>
    <x v="10"/>
    <n v="2"/>
    <n v="62616"/>
    <n v="125232"/>
  </r>
  <r>
    <n v="967"/>
    <s v="ODR_CD_485"/>
    <x v="966"/>
    <x v="2"/>
    <x v="1"/>
    <x v="12"/>
    <n v="15"/>
    <n v="14221"/>
    <n v="213315"/>
  </r>
  <r>
    <n v="968"/>
    <s v="ODR_BC_485"/>
    <x v="967"/>
    <x v="3"/>
    <x v="4"/>
    <x v="15"/>
    <n v="14"/>
    <n v="16410"/>
    <n v="229740"/>
  </r>
  <r>
    <n v="969"/>
    <s v="ODR_CD_486"/>
    <x v="968"/>
    <x v="3"/>
    <x v="4"/>
    <x v="12"/>
    <n v="5"/>
    <n v="66413"/>
    <n v="332065"/>
  </r>
  <r>
    <n v="970"/>
    <s v="ODR_BC_486"/>
    <x v="969"/>
    <x v="0"/>
    <x v="3"/>
    <x v="15"/>
    <n v="6"/>
    <n v="6051"/>
    <n v="36306"/>
  </r>
  <r>
    <n v="971"/>
    <s v="ODR_CD_487"/>
    <x v="970"/>
    <x v="1"/>
    <x v="1"/>
    <x v="11"/>
    <n v="6"/>
    <n v="61563"/>
    <n v="369378"/>
  </r>
  <r>
    <n v="972"/>
    <s v="ODR_BC_487"/>
    <x v="971"/>
    <x v="0"/>
    <x v="0"/>
    <x v="10"/>
    <n v="18"/>
    <n v="49757"/>
    <n v="895626"/>
  </r>
  <r>
    <n v="973"/>
    <s v="ODR_CD_488"/>
    <x v="972"/>
    <x v="2"/>
    <x v="0"/>
    <x v="10"/>
    <n v="14"/>
    <n v="56257"/>
    <n v="787598"/>
  </r>
  <r>
    <n v="974"/>
    <s v="ODR_BC_488"/>
    <x v="973"/>
    <x v="0"/>
    <x v="2"/>
    <x v="11"/>
    <n v="10"/>
    <n v="5307"/>
    <n v="53070"/>
  </r>
  <r>
    <n v="975"/>
    <s v="ODR_CD_489"/>
    <x v="974"/>
    <x v="1"/>
    <x v="0"/>
    <x v="13"/>
    <n v="14"/>
    <n v="61889"/>
    <n v="866446"/>
  </r>
  <r>
    <n v="976"/>
    <s v="ODR_BC_489"/>
    <x v="975"/>
    <x v="3"/>
    <x v="3"/>
    <x v="12"/>
    <n v="13"/>
    <n v="73895"/>
    <n v="960635"/>
  </r>
  <r>
    <n v="977"/>
    <s v="ODR_CD_490"/>
    <x v="976"/>
    <x v="1"/>
    <x v="3"/>
    <x v="11"/>
    <n v="3"/>
    <n v="40944"/>
    <n v="122832"/>
  </r>
  <r>
    <n v="978"/>
    <s v="ODR_BC_490"/>
    <x v="977"/>
    <x v="1"/>
    <x v="0"/>
    <x v="12"/>
    <n v="6"/>
    <n v="43134"/>
    <n v="258804"/>
  </r>
  <r>
    <n v="979"/>
    <s v="ODR_CD_491"/>
    <x v="978"/>
    <x v="1"/>
    <x v="0"/>
    <x v="14"/>
    <n v="8"/>
    <n v="32323"/>
    <n v="258584"/>
  </r>
  <r>
    <n v="980"/>
    <s v="ODR_BC_491"/>
    <x v="979"/>
    <x v="3"/>
    <x v="2"/>
    <x v="10"/>
    <n v="12"/>
    <n v="30954"/>
    <n v="371448"/>
  </r>
  <r>
    <n v="981"/>
    <s v="ODR_CD_492"/>
    <x v="980"/>
    <x v="1"/>
    <x v="0"/>
    <x v="12"/>
    <n v="13"/>
    <n v="60021"/>
    <n v="780273"/>
  </r>
  <r>
    <n v="982"/>
    <s v="ODR_BC_492"/>
    <x v="981"/>
    <x v="1"/>
    <x v="2"/>
    <x v="15"/>
    <n v="11"/>
    <n v="9992"/>
    <n v="109912"/>
  </r>
  <r>
    <n v="983"/>
    <s v="ODR_CD_493"/>
    <x v="982"/>
    <x v="1"/>
    <x v="2"/>
    <x v="12"/>
    <n v="12"/>
    <n v="6961"/>
    <n v="83532"/>
  </r>
  <r>
    <n v="984"/>
    <s v="ODR_BC_493"/>
    <x v="983"/>
    <x v="2"/>
    <x v="0"/>
    <x v="14"/>
    <n v="1"/>
    <n v="17497"/>
    <n v="17497"/>
  </r>
  <r>
    <n v="985"/>
    <s v="ODR_CD_494"/>
    <x v="984"/>
    <x v="1"/>
    <x v="4"/>
    <x v="10"/>
    <n v="17"/>
    <n v="37551"/>
    <n v="638367"/>
  </r>
  <r>
    <n v="986"/>
    <s v="ODR_BC_494"/>
    <x v="985"/>
    <x v="3"/>
    <x v="4"/>
    <x v="11"/>
    <n v="16"/>
    <n v="60755"/>
    <n v="972080"/>
  </r>
  <r>
    <n v="987"/>
    <s v="ODR_CD_495"/>
    <x v="986"/>
    <x v="1"/>
    <x v="2"/>
    <x v="14"/>
    <n v="11"/>
    <n v="18255"/>
    <n v="200805"/>
  </r>
  <r>
    <n v="988"/>
    <s v="ODR_BC_495"/>
    <x v="987"/>
    <x v="1"/>
    <x v="0"/>
    <x v="10"/>
    <n v="13"/>
    <n v="9567"/>
    <n v="124371"/>
  </r>
  <r>
    <n v="989"/>
    <s v="ODR_CD_496"/>
    <x v="988"/>
    <x v="3"/>
    <x v="4"/>
    <x v="12"/>
    <n v="18"/>
    <n v="53847"/>
    <n v="969246"/>
  </r>
  <r>
    <n v="990"/>
    <s v="ODR_BC_496"/>
    <x v="989"/>
    <x v="1"/>
    <x v="0"/>
    <x v="13"/>
    <n v="11"/>
    <n v="53003"/>
    <n v="583033"/>
  </r>
  <r>
    <n v="991"/>
    <s v="ODR_CD_497"/>
    <x v="990"/>
    <x v="3"/>
    <x v="0"/>
    <x v="13"/>
    <n v="12"/>
    <n v="25389"/>
    <n v="304668"/>
  </r>
  <r>
    <n v="992"/>
    <s v="ODR_BC_497"/>
    <x v="991"/>
    <x v="1"/>
    <x v="0"/>
    <x v="15"/>
    <n v="6"/>
    <n v="49523"/>
    <n v="297138"/>
  </r>
  <r>
    <n v="993"/>
    <s v="ODR_CD_498"/>
    <x v="992"/>
    <x v="3"/>
    <x v="1"/>
    <x v="10"/>
    <n v="9"/>
    <n v="66576"/>
    <n v="599184"/>
  </r>
  <r>
    <n v="994"/>
    <s v="ODR_BC_498"/>
    <x v="993"/>
    <x v="1"/>
    <x v="0"/>
    <x v="13"/>
    <n v="16"/>
    <n v="48919"/>
    <n v="782704"/>
  </r>
  <r>
    <n v="995"/>
    <s v="ODR_CD_499"/>
    <x v="994"/>
    <x v="1"/>
    <x v="1"/>
    <x v="11"/>
    <n v="4"/>
    <n v="8358"/>
    <n v="33432"/>
  </r>
  <r>
    <n v="996"/>
    <s v="ODR_BC_499"/>
    <x v="995"/>
    <x v="2"/>
    <x v="2"/>
    <x v="10"/>
    <n v="3"/>
    <n v="10698"/>
    <n v="32094"/>
  </r>
  <r>
    <n v="997"/>
    <s v="ODR_CD_500"/>
    <x v="996"/>
    <x v="2"/>
    <x v="4"/>
    <x v="11"/>
    <n v="16"/>
    <n v="71809"/>
    <n v="1148944"/>
  </r>
  <r>
    <n v="998"/>
    <s v="ODR_BC_500"/>
    <x v="997"/>
    <x v="1"/>
    <x v="4"/>
    <x v="11"/>
    <n v="12"/>
    <n v="60805"/>
    <n v="729660"/>
  </r>
  <r>
    <n v="999"/>
    <s v="ODR_CD_501"/>
    <x v="998"/>
    <x v="1"/>
    <x v="4"/>
    <x v="13"/>
    <n v="11"/>
    <n v="36349"/>
    <n v="399839"/>
  </r>
  <r>
    <n v="1000"/>
    <s v="ODR_BC_501"/>
    <x v="999"/>
    <x v="0"/>
    <x v="4"/>
    <x v="10"/>
    <n v="5"/>
    <n v="55248"/>
    <n v="2762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5C087A-A052-4190-88D7-F341AC4EEBC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6" firstHeaderRow="1" firstDataRow="1" firstDataCol="1"/>
  <pivotFields count="12">
    <pivotField showAll="0"/>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sortType="ascending">
      <items count="5">
        <item x="0"/>
        <item x="2"/>
        <item x="3"/>
        <item x="1"/>
        <item t="default"/>
      </items>
    </pivotField>
    <pivotField axis="axisRow" showAll="0" sortType="descending">
      <items count="9">
        <item m="1" x="7"/>
        <item x="6"/>
        <item x="0"/>
        <item x="3"/>
        <item x="2"/>
        <item x="1"/>
        <item x="5"/>
        <item x="4"/>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defaultSubtotal="0"/>
    <pivotField showAll="0" defaultSubtotal="0"/>
    <pivotField showAll="0" defaultSubtotal="0">
      <items count="5">
        <item x="0"/>
        <item x="1"/>
        <item x="2"/>
        <item x="3"/>
        <item x="4"/>
      </items>
    </pivotField>
  </pivotFields>
  <rowFields count="2">
    <field x="3"/>
    <field x="4"/>
  </rowFields>
  <rowItems count="33">
    <i>
      <x/>
    </i>
    <i r="1">
      <x v="3"/>
    </i>
    <i r="1">
      <x v="2"/>
    </i>
    <i r="1">
      <x v="5"/>
    </i>
    <i r="1">
      <x v="7"/>
    </i>
    <i r="1">
      <x v="4"/>
    </i>
    <i r="1">
      <x v="1"/>
    </i>
    <i r="1">
      <x v="6"/>
    </i>
    <i>
      <x v="1"/>
    </i>
    <i r="1">
      <x v="2"/>
    </i>
    <i r="1">
      <x v="3"/>
    </i>
    <i r="1">
      <x v="7"/>
    </i>
    <i r="1">
      <x v="5"/>
    </i>
    <i r="1">
      <x v="4"/>
    </i>
    <i r="1">
      <x v="6"/>
    </i>
    <i r="1">
      <x v="1"/>
    </i>
    <i>
      <x v="2"/>
    </i>
    <i r="1">
      <x v="3"/>
    </i>
    <i r="1">
      <x v="7"/>
    </i>
    <i r="1">
      <x v="2"/>
    </i>
    <i r="1">
      <x v="5"/>
    </i>
    <i r="1">
      <x v="4"/>
    </i>
    <i r="1">
      <x v="6"/>
    </i>
    <i r="1">
      <x v="1"/>
    </i>
    <i>
      <x v="3"/>
    </i>
    <i r="1">
      <x v="2"/>
    </i>
    <i r="1">
      <x v="3"/>
    </i>
    <i r="1">
      <x v="5"/>
    </i>
    <i r="1">
      <x v="6"/>
    </i>
    <i r="1">
      <x v="4"/>
    </i>
    <i r="1">
      <x v="7"/>
    </i>
    <i r="1">
      <x v="1"/>
    </i>
    <i t="grand">
      <x/>
    </i>
  </rowItems>
  <colItems count="1">
    <i/>
  </colItems>
  <dataFields count="1">
    <dataField name="Sum of Quantiti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D41596-98E2-43EA-A2C1-5245B4A4B4F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35:B43" firstHeaderRow="1" firstDataRow="1" firstDataCol="1"/>
  <pivotFields count="12">
    <pivotField showAll="0"/>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5">
        <item x="0"/>
        <item x="2"/>
        <item x="3"/>
        <item x="1"/>
        <item t="default"/>
      </items>
    </pivotField>
    <pivotField axis="axisRow" showAll="0" sortType="ascending">
      <items count="9">
        <item x="0"/>
        <item x="3"/>
        <item x="2"/>
        <item x="1"/>
        <item x="4"/>
        <item x="6"/>
        <item x="5"/>
        <item m="1" x="7"/>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8">
    <i>
      <x v="5"/>
    </i>
    <i>
      <x v="6"/>
    </i>
    <i>
      <x v="2"/>
    </i>
    <i>
      <x v="4"/>
    </i>
    <i>
      <x v="3"/>
    </i>
    <i>
      <x v="1"/>
    </i>
    <i>
      <x/>
    </i>
    <i t="grand">
      <x/>
    </i>
  </rowItems>
  <colItems count="1">
    <i/>
  </colItems>
  <dataFields count="1">
    <dataField name="Sum of Total_Sales" fld="8" showDataAs="percentOfTotal" baseField="0" baseItem="0" numFmtId="10"/>
  </dataFields>
  <formats count="11">
    <format dxfId="11">
      <pivotArea type="all" dataOnly="0" outline="0" fieldPosition="0"/>
    </format>
    <format dxfId="10">
      <pivotArea outline="0" collapsedLevelsAreSubtotals="1" fieldPosition="0"/>
    </format>
    <format dxfId="9">
      <pivotArea field="3" type="button" dataOnly="0" labelOnly="1" outline="0"/>
    </format>
    <format dxfId="8">
      <pivotArea dataOnly="0" labelOnly="1" grandRow="1" outline="0" fieldPosition="0"/>
    </format>
    <format dxfId="7">
      <pivotArea dataOnly="0" labelOnly="1" outline="0" axis="axisValues" fieldPosition="0"/>
    </format>
    <format dxfId="6">
      <pivotArea outline="0" collapsedLevelsAreSubtotals="1" fieldPosition="0"/>
    </format>
    <format dxfId="5">
      <pivotArea collapsedLevelsAreSubtotals="1" fieldPosition="0">
        <references count="1">
          <reference field="4" count="1">
            <x v="0"/>
          </reference>
        </references>
      </pivotArea>
    </format>
    <format dxfId="4">
      <pivotArea field="4" type="button" dataOnly="0" labelOnly="1" outline="0" axis="axisRow" fieldPosition="0"/>
    </format>
    <format dxfId="3">
      <pivotArea dataOnly="0" labelOnly="1" fieldPosition="0">
        <references count="1">
          <reference field="4" count="1">
            <x v="0"/>
          </reference>
        </references>
      </pivotArea>
    </format>
    <format dxfId="2">
      <pivotArea dataOnly="0" labelOnly="1" outline="0" axis="axisValues" fieldPosition="0"/>
    </format>
    <format dxfId="1">
      <pivotArea outline="0" fieldPosition="0">
        <references count="1">
          <reference field="4294967294" count="1">
            <x v="0"/>
          </reference>
        </references>
      </pivotArea>
    </format>
  </formats>
  <chartFormats count="42">
    <chartFormat chart="3" format="2"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0"/>
          </reference>
        </references>
      </pivotArea>
    </chartFormat>
    <chartFormat chart="14" format="10">
      <pivotArea type="data" outline="0" fieldPosition="0">
        <references count="2">
          <reference field="4294967294" count="1" selected="0">
            <x v="0"/>
          </reference>
          <reference field="4" count="1" selected="0">
            <x v="5"/>
          </reference>
        </references>
      </pivotArea>
    </chartFormat>
    <chartFormat chart="14" format="11">
      <pivotArea type="data" outline="0" fieldPosition="0">
        <references count="2">
          <reference field="4294967294" count="1" selected="0">
            <x v="0"/>
          </reference>
          <reference field="4" count="1" selected="0">
            <x v="6"/>
          </reference>
        </references>
      </pivotArea>
    </chartFormat>
    <chartFormat chart="14" format="12">
      <pivotArea type="data" outline="0" fieldPosition="0">
        <references count="2">
          <reference field="4294967294" count="1" selected="0">
            <x v="0"/>
          </reference>
          <reference field="4" count="1" selected="0">
            <x v="2"/>
          </reference>
        </references>
      </pivotArea>
    </chartFormat>
    <chartFormat chart="14" format="13">
      <pivotArea type="data" outline="0" fieldPosition="0">
        <references count="2">
          <reference field="4294967294" count="1" selected="0">
            <x v="0"/>
          </reference>
          <reference field="4" count="1" selected="0">
            <x v="4"/>
          </reference>
        </references>
      </pivotArea>
    </chartFormat>
    <chartFormat chart="14" format="14">
      <pivotArea type="data" outline="0" fieldPosition="0">
        <references count="2">
          <reference field="4294967294" count="1" selected="0">
            <x v="0"/>
          </reference>
          <reference field="4" count="1" selected="0">
            <x v="3"/>
          </reference>
        </references>
      </pivotArea>
    </chartFormat>
    <chartFormat chart="14" format="15">
      <pivotArea type="data" outline="0" fieldPosition="0">
        <references count="2">
          <reference field="4294967294" count="1" selected="0">
            <x v="0"/>
          </reference>
          <reference field="4" count="1" selected="0">
            <x v="0"/>
          </reference>
        </references>
      </pivotArea>
    </chartFormat>
    <chartFormat chart="14" format="16">
      <pivotArea type="data" outline="0" fieldPosition="0">
        <references count="2">
          <reference field="4294967294" count="1" selected="0">
            <x v="0"/>
          </reference>
          <reference field="4" count="1" selected="0">
            <x v="1"/>
          </reference>
        </references>
      </pivotArea>
    </chartFormat>
    <chartFormat chart="16"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2" format="2">
      <pivotArea type="data" outline="0" fieldPosition="0">
        <references count="2">
          <reference field="4294967294" count="1" selected="0">
            <x v="0"/>
          </reference>
          <reference field="4" count="1" selected="0">
            <x v="5"/>
          </reference>
        </references>
      </pivotArea>
    </chartFormat>
    <chartFormat chart="22" format="3">
      <pivotArea type="data" outline="0" fieldPosition="0">
        <references count="2">
          <reference field="4294967294" count="1" selected="0">
            <x v="0"/>
          </reference>
          <reference field="4" count="1" selected="0">
            <x v="6"/>
          </reference>
        </references>
      </pivotArea>
    </chartFormat>
    <chartFormat chart="22" format="4">
      <pivotArea type="data" outline="0" fieldPosition="0">
        <references count="2">
          <reference field="4294967294" count="1" selected="0">
            <x v="0"/>
          </reference>
          <reference field="4" count="1" selected="0">
            <x v="2"/>
          </reference>
        </references>
      </pivotArea>
    </chartFormat>
    <chartFormat chart="22" format="5">
      <pivotArea type="data" outline="0" fieldPosition="0">
        <references count="2">
          <reference field="4294967294" count="1" selected="0">
            <x v="0"/>
          </reference>
          <reference field="4" count="1" selected="0">
            <x v="4"/>
          </reference>
        </references>
      </pivotArea>
    </chartFormat>
    <chartFormat chart="22" format="6">
      <pivotArea type="data" outline="0" fieldPosition="0">
        <references count="2">
          <reference field="4294967294" count="1" selected="0">
            <x v="0"/>
          </reference>
          <reference field="4" count="1" selected="0">
            <x v="3"/>
          </reference>
        </references>
      </pivotArea>
    </chartFormat>
    <chartFormat chart="22" format="7">
      <pivotArea type="data" outline="0" fieldPosition="0">
        <references count="2">
          <reference field="4294967294" count="1" selected="0">
            <x v="0"/>
          </reference>
          <reference field="4" count="1" selected="0">
            <x v="0"/>
          </reference>
        </references>
      </pivotArea>
    </chartFormat>
    <chartFormat chart="22" format="8">
      <pivotArea type="data" outline="0" fieldPosition="0">
        <references count="2">
          <reference field="4294967294" count="1" selected="0">
            <x v="0"/>
          </reference>
          <reference field="4" count="1" selected="0">
            <x v="1"/>
          </reference>
        </references>
      </pivotArea>
    </chartFormat>
    <chartFormat chart="25"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4" format="1">
      <pivotArea type="data" outline="0" fieldPosition="0">
        <references count="2">
          <reference field="4294967294" count="1" selected="0">
            <x v="0"/>
          </reference>
          <reference field="4" count="1" selected="0">
            <x v="6"/>
          </reference>
        </references>
      </pivotArea>
    </chartFormat>
    <chartFormat chart="34" format="2">
      <pivotArea type="data" outline="0" fieldPosition="0">
        <references count="2">
          <reference field="4294967294" count="1" selected="0">
            <x v="0"/>
          </reference>
          <reference field="4" count="1" selected="0">
            <x v="4"/>
          </reference>
        </references>
      </pivotArea>
    </chartFormat>
    <chartFormat chart="34" format="3">
      <pivotArea type="data" outline="0" fieldPosition="0">
        <references count="2">
          <reference field="4294967294" count="1" selected="0">
            <x v="0"/>
          </reference>
          <reference field="4" count="1" selected="0">
            <x v="2"/>
          </reference>
        </references>
      </pivotArea>
    </chartFormat>
    <chartFormat chart="34" format="4">
      <pivotArea type="data" outline="0" fieldPosition="0">
        <references count="2">
          <reference field="4294967294" count="1" selected="0">
            <x v="0"/>
          </reference>
          <reference field="4" count="1" selected="0">
            <x v="1"/>
          </reference>
        </references>
      </pivotArea>
    </chartFormat>
    <chartFormat chart="35" format="5" series="1">
      <pivotArea type="data" outline="0" fieldPosition="0">
        <references count="1">
          <reference field="4294967294" count="1" selected="0">
            <x v="0"/>
          </reference>
        </references>
      </pivotArea>
    </chartFormat>
    <chartFormat chart="35" format="6">
      <pivotArea type="data" outline="0" fieldPosition="0">
        <references count="2">
          <reference field="4294967294" count="1" selected="0">
            <x v="0"/>
          </reference>
          <reference field="4" count="1" selected="0">
            <x v="5"/>
          </reference>
        </references>
      </pivotArea>
    </chartFormat>
    <chartFormat chart="35" format="7">
      <pivotArea type="data" outline="0" fieldPosition="0">
        <references count="2">
          <reference field="4294967294" count="1" selected="0">
            <x v="0"/>
          </reference>
          <reference field="4" count="1" selected="0">
            <x v="6"/>
          </reference>
        </references>
      </pivotArea>
    </chartFormat>
    <chartFormat chart="35" format="8">
      <pivotArea type="data" outline="0" fieldPosition="0">
        <references count="2">
          <reference field="4294967294" count="1" selected="0">
            <x v="0"/>
          </reference>
          <reference field="4" count="1" selected="0">
            <x v="2"/>
          </reference>
        </references>
      </pivotArea>
    </chartFormat>
    <chartFormat chart="35" format="9">
      <pivotArea type="data" outline="0" fieldPosition="0">
        <references count="2">
          <reference field="4294967294" count="1" selected="0">
            <x v="0"/>
          </reference>
          <reference field="4" count="1" selected="0">
            <x v="4"/>
          </reference>
        </references>
      </pivotArea>
    </chartFormat>
    <chartFormat chart="35" format="10">
      <pivotArea type="data" outline="0" fieldPosition="0">
        <references count="2">
          <reference field="4294967294" count="1" selected="0">
            <x v="0"/>
          </reference>
          <reference field="4" count="1" selected="0">
            <x v="3"/>
          </reference>
        </references>
      </pivotArea>
    </chartFormat>
    <chartFormat chart="35" format="11">
      <pivotArea type="data" outline="0" fieldPosition="0">
        <references count="2">
          <reference field="4294967294" count="1" selected="0">
            <x v="0"/>
          </reference>
          <reference field="4" count="1" selected="0">
            <x v="1"/>
          </reference>
        </references>
      </pivotArea>
    </chartFormat>
    <chartFormat chart="35" format="12">
      <pivotArea type="data" outline="0" fieldPosition="0">
        <references count="2">
          <reference field="4294967294" count="1" selected="0">
            <x v="0"/>
          </reference>
          <reference field="4" count="1" selected="0">
            <x v="0"/>
          </reference>
        </references>
      </pivotArea>
    </chartFormat>
    <chartFormat chart="36" format="13" series="1">
      <pivotArea type="data" outline="0" fieldPosition="0">
        <references count="1">
          <reference field="4294967294" count="1" selected="0">
            <x v="0"/>
          </reference>
        </references>
      </pivotArea>
    </chartFormat>
    <chartFormat chart="36" format="14">
      <pivotArea type="data" outline="0" fieldPosition="0">
        <references count="2">
          <reference field="4294967294" count="1" selected="0">
            <x v="0"/>
          </reference>
          <reference field="4" count="1" selected="0">
            <x v="5"/>
          </reference>
        </references>
      </pivotArea>
    </chartFormat>
    <chartFormat chart="36" format="15">
      <pivotArea type="data" outline="0" fieldPosition="0">
        <references count="2">
          <reference field="4294967294" count="1" selected="0">
            <x v="0"/>
          </reference>
          <reference field="4" count="1" selected="0">
            <x v="6"/>
          </reference>
        </references>
      </pivotArea>
    </chartFormat>
    <chartFormat chart="36" format="16">
      <pivotArea type="data" outline="0" fieldPosition="0">
        <references count="2">
          <reference field="4294967294" count="1" selected="0">
            <x v="0"/>
          </reference>
          <reference field="4" count="1" selected="0">
            <x v="2"/>
          </reference>
        </references>
      </pivotArea>
    </chartFormat>
    <chartFormat chart="36" format="17">
      <pivotArea type="data" outline="0" fieldPosition="0">
        <references count="2">
          <reference field="4294967294" count="1" selected="0">
            <x v="0"/>
          </reference>
          <reference field="4" count="1" selected="0">
            <x v="4"/>
          </reference>
        </references>
      </pivotArea>
    </chartFormat>
    <chartFormat chart="36" format="18">
      <pivotArea type="data" outline="0" fieldPosition="0">
        <references count="2">
          <reference field="4294967294" count="1" selected="0">
            <x v="0"/>
          </reference>
          <reference field="4" count="1" selected="0">
            <x v="3"/>
          </reference>
        </references>
      </pivotArea>
    </chartFormat>
    <chartFormat chart="36" format="19">
      <pivotArea type="data" outline="0" fieldPosition="0">
        <references count="2">
          <reference field="4294967294" count="1" selected="0">
            <x v="0"/>
          </reference>
          <reference field="4" count="1" selected="0">
            <x v="1"/>
          </reference>
        </references>
      </pivotArea>
    </chartFormat>
    <chartFormat chart="36" format="20">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1C969D-35B9-48AB-84D7-7BFBA9EDFDF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0:H24" firstHeaderRow="1" firstDataRow="1" firstDataCol="1"/>
  <pivotFields count="12">
    <pivotField showAll="0"/>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5">
        <item x="0"/>
        <item x="2"/>
        <item x="3"/>
        <item x="1"/>
        <item t="default"/>
      </items>
    </pivotField>
    <pivotField showAll="0">
      <items count="9">
        <item x="0"/>
        <item x="3"/>
        <item x="2"/>
        <item x="1"/>
        <item x="4"/>
        <item x="6"/>
        <item x="5"/>
        <item m="1" x="7"/>
        <item t="default"/>
      </items>
    </pivotField>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1"/>
  </rowFields>
  <rowItems count="4">
    <i>
      <x v="1"/>
    </i>
    <i>
      <x v="2"/>
    </i>
    <i>
      <x v="3"/>
    </i>
    <i t="grand">
      <x/>
    </i>
  </rowItems>
  <colItems count="1">
    <i/>
  </colItems>
  <dataFields count="1">
    <dataField name="Sum of Quantities" fld="6" baseField="0" baseItem="0"/>
  </dataFields>
  <formats count="8">
    <format dxfId="19">
      <pivotArea type="all" dataOnly="0" outline="0" fieldPosition="0"/>
    </format>
    <format dxfId="18">
      <pivotArea outline="0" collapsedLevelsAreSubtotals="1" fieldPosition="0"/>
    </format>
    <format dxfId="17">
      <pivotArea field="3" type="button" dataOnly="0" labelOnly="1" outline="0"/>
    </format>
    <format dxfId="16">
      <pivotArea dataOnly="0" labelOnly="1" grandRow="1" outline="0" fieldPosition="0"/>
    </format>
    <format dxfId="15">
      <pivotArea dataOnly="0" labelOnly="1" outline="0" axis="axisValues" fieldPosition="0"/>
    </format>
    <format dxfId="14">
      <pivotArea outline="0" collapsedLevelsAreSubtotals="1" fieldPosition="0"/>
    </format>
    <format dxfId="13">
      <pivotArea field="4" type="button" dataOnly="0" labelOnly="1" outline="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A9278A-3C75-4905-8D73-777F310EA9C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20:E25" firstHeaderRow="1" firstDataRow="1" firstDataCol="1"/>
  <pivotFields count="12">
    <pivotField showAll="0"/>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5">
        <item x="0"/>
        <item x="2"/>
        <item x="3"/>
        <item x="1"/>
        <item t="default"/>
      </items>
    </pivotField>
    <pivotField showAll="0">
      <items count="9">
        <item m="1" x="7"/>
        <item x="6"/>
        <item x="0"/>
        <item x="3"/>
        <item x="2"/>
        <item x="1"/>
        <item x="5"/>
        <item x="4"/>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5">
    <i>
      <x/>
    </i>
    <i>
      <x v="1"/>
    </i>
    <i>
      <x v="2"/>
    </i>
    <i>
      <x v="3"/>
    </i>
    <i t="grand">
      <x/>
    </i>
  </rowItems>
  <colItems count="1">
    <i/>
  </colItems>
  <dataFields count="1">
    <dataField name="Sum of Total_Sales" fld="8" baseField="0" baseItem="0" numFmtId="164"/>
  </dataFields>
  <formats count="7">
    <format dxfId="26">
      <pivotArea type="all" dataOnly="0" outline="0" fieldPosition="0"/>
    </format>
    <format dxfId="25">
      <pivotArea outline="0" collapsedLevelsAreSubtotals="1" fieldPosition="0"/>
    </format>
    <format dxfId="24">
      <pivotArea field="3" type="button" dataOnly="0" labelOnly="1" outline="0" axis="axisRow" fieldPosition="0"/>
    </format>
    <format dxfId="23">
      <pivotArea dataOnly="0" labelOnly="1" fieldPosition="0">
        <references count="1">
          <reference field="3" count="0"/>
        </references>
      </pivotArea>
    </format>
    <format dxfId="22">
      <pivotArea dataOnly="0" labelOnly="1" grandRow="1" outline="0" fieldPosition="0"/>
    </format>
    <format dxfId="21">
      <pivotArea dataOnly="0" labelOnly="1" outline="0" axis="axisValues" fieldPosition="0"/>
    </format>
    <format dxfId="2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76AFC9-7AF8-4EED-B495-E9F49AEF3AA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0:B25" firstHeaderRow="1" firstDataRow="1" firstDataCol="1"/>
  <pivotFields count="12">
    <pivotField showAll="0"/>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5">
        <item x="0"/>
        <item x="2"/>
        <item x="3"/>
        <item x="1"/>
        <item t="default"/>
      </items>
    </pivotField>
    <pivotField showAll="0">
      <items count="9">
        <item m="1" x="7"/>
        <item x="6"/>
        <item x="0"/>
        <item x="3"/>
        <item x="2"/>
        <item x="1"/>
        <item x="5"/>
        <item x="4"/>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5">
    <i>
      <x/>
    </i>
    <i>
      <x v="1"/>
    </i>
    <i>
      <x v="2"/>
    </i>
    <i>
      <x v="3"/>
    </i>
    <i t="grand">
      <x/>
    </i>
  </rowItems>
  <colItems count="1">
    <i/>
  </colItems>
  <dataFields count="1">
    <dataField name="Sum of Total_Sales" fld="8" showDataAs="percentOfTotal" baseField="0" baseItem="0" numFmtId="10"/>
  </dataFields>
  <formats count="6">
    <format dxfId="32">
      <pivotArea type="all" dataOnly="0" outline="0" fieldPosition="0"/>
    </format>
    <format dxfId="31">
      <pivotArea outline="0" collapsedLevelsAreSubtotals="1" fieldPosition="0"/>
    </format>
    <format dxfId="30">
      <pivotArea field="3" type="button" dataOnly="0" labelOnly="1" outline="0" axis="axisRow" fieldPosition="0"/>
    </format>
    <format dxfId="29">
      <pivotArea dataOnly="0" labelOnly="1" fieldPosition="0">
        <references count="1">
          <reference field="3" count="0"/>
        </references>
      </pivotArea>
    </format>
    <format dxfId="28">
      <pivotArea dataOnly="0" labelOnly="1" grandRow="1" outline="0" fieldPosition="0"/>
    </format>
    <format dxfId="27">
      <pivotArea dataOnly="0" labelOnly="1" outline="0" axis="axisValues" fieldPosition="0"/>
    </format>
  </formats>
  <chartFormats count="5">
    <chartFormat chart="15" format="16" series="1">
      <pivotArea type="data" outline="0" fieldPosition="0">
        <references count="1">
          <reference field="4294967294" count="1" selected="0">
            <x v="0"/>
          </reference>
        </references>
      </pivotArea>
    </chartFormat>
    <chartFormat chart="15" format="17">
      <pivotArea type="data" outline="0" fieldPosition="0">
        <references count="2">
          <reference field="4294967294" count="1" selected="0">
            <x v="0"/>
          </reference>
          <reference field="3" count="1" selected="0">
            <x v="0"/>
          </reference>
        </references>
      </pivotArea>
    </chartFormat>
    <chartFormat chart="15" format="18">
      <pivotArea type="data" outline="0" fieldPosition="0">
        <references count="2">
          <reference field="4294967294" count="1" selected="0">
            <x v="0"/>
          </reference>
          <reference field="3" count="1" selected="0">
            <x v="1"/>
          </reference>
        </references>
      </pivotArea>
    </chartFormat>
    <chartFormat chart="15" format="19">
      <pivotArea type="data" outline="0" fieldPosition="0">
        <references count="2">
          <reference field="4294967294" count="1" selected="0">
            <x v="0"/>
          </reference>
          <reference field="3" count="1" selected="0">
            <x v="2"/>
          </reference>
        </references>
      </pivotArea>
    </chartFormat>
    <chartFormat chart="15" format="2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CAE8D4-BF4A-4C54-989C-922C91FF275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32:K36" firstHeaderRow="1" firstDataRow="1" firstDataCol="1"/>
  <pivotFields count="12">
    <pivotField showAll="0"/>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5">
        <item x="0"/>
        <item x="2"/>
        <item x="3"/>
        <item x="1"/>
        <item t="default"/>
      </items>
    </pivotField>
    <pivotField showAll="0">
      <items count="9">
        <item m="1" x="7"/>
        <item x="6"/>
        <item x="0"/>
        <item x="3"/>
        <item x="2"/>
        <item x="1"/>
        <item x="5"/>
        <item x="4"/>
        <item t="default"/>
      </items>
    </pivotField>
    <pivotField axis="axisRow" showAll="0" measureFilter="1" sortType="ascending">
      <items count="17">
        <item x="5"/>
        <item x="9"/>
        <item x="2"/>
        <item x="13"/>
        <item x="8"/>
        <item x="3"/>
        <item x="1"/>
        <item x="10"/>
        <item x="12"/>
        <item x="15"/>
        <item x="0"/>
        <item x="6"/>
        <item x="11"/>
        <item x="14"/>
        <item x="4"/>
        <item x="7"/>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4">
    <i>
      <x v="9"/>
    </i>
    <i>
      <x v="13"/>
    </i>
    <i>
      <x v="3"/>
    </i>
    <i t="grand">
      <x/>
    </i>
  </rowItems>
  <colItems count="1">
    <i/>
  </colItems>
  <dataFields count="1">
    <dataField name="Sum of Quantities" fld="6" baseField="0" baseItem="0"/>
  </dataFields>
  <formats count="12">
    <format dxfId="44">
      <pivotArea type="all" dataOnly="0" outline="0" fieldPosition="0"/>
    </format>
    <format dxfId="43">
      <pivotArea outline="0" collapsedLevelsAreSubtotals="1" fieldPosition="0"/>
    </format>
    <format dxfId="42">
      <pivotArea field="3" type="button" dataOnly="0" labelOnly="1" outline="0"/>
    </format>
    <format dxfId="41">
      <pivotArea dataOnly="0" labelOnly="1" grandRow="1" outline="0" fieldPosition="0"/>
    </format>
    <format dxfId="40">
      <pivotArea dataOnly="0" labelOnly="1" outline="0" axis="axisValues" fieldPosition="0"/>
    </format>
    <format dxfId="39">
      <pivotArea outline="0" collapsedLevelsAreSubtotals="1" fieldPosition="0"/>
    </format>
    <format dxfId="38">
      <pivotArea type="all" dataOnly="0" outline="0" fieldPosition="0"/>
    </format>
    <format dxfId="37">
      <pivotArea outline="0" collapsedLevelsAreSubtotals="1" fieldPosition="0"/>
    </format>
    <format dxfId="36">
      <pivotArea field="5" type="button" dataOnly="0" labelOnly="1" outline="0" axis="axisRow" fieldPosition="0"/>
    </format>
    <format dxfId="35">
      <pivotArea dataOnly="0" labelOnly="1" fieldPosition="0">
        <references count="1">
          <reference field="5" count="0"/>
        </references>
      </pivotArea>
    </format>
    <format dxfId="34">
      <pivotArea dataOnly="0" labelOnly="1" grandRow="1" outline="0" fieldPosition="0"/>
    </format>
    <format dxfId="33">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9A74CE-0FE0-4F30-9A97-CB667631039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3:H11" firstHeaderRow="1" firstDataRow="1" firstDataCol="1"/>
  <pivotFields count="12">
    <pivotField showAll="0"/>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5">
        <item x="0"/>
        <item x="2"/>
        <item x="3"/>
        <item x="1"/>
        <item t="default"/>
      </items>
    </pivotField>
    <pivotField axis="axisRow" showAll="0" sortType="ascending">
      <items count="9">
        <item x="0"/>
        <item x="3"/>
        <item x="2"/>
        <item x="1"/>
        <item x="4"/>
        <item x="6"/>
        <item x="5"/>
        <item m="1" x="7"/>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8">
    <i>
      <x v="5"/>
    </i>
    <i>
      <x v="6"/>
    </i>
    <i>
      <x v="2"/>
    </i>
    <i>
      <x v="4"/>
    </i>
    <i>
      <x v="3"/>
    </i>
    <i>
      <x v="1"/>
    </i>
    <i>
      <x/>
    </i>
    <i t="grand">
      <x/>
    </i>
  </rowItems>
  <colItems count="1">
    <i/>
  </colItems>
  <dataFields count="1">
    <dataField name="Sum of Total_Sales" fld="8" baseField="0" baseItem="0" numFmtId="164"/>
  </dataFields>
  <formats count="10">
    <format dxfId="54">
      <pivotArea type="all" dataOnly="0" outline="0" fieldPosition="0"/>
    </format>
    <format dxfId="53">
      <pivotArea outline="0" collapsedLevelsAreSubtotals="1" fieldPosition="0"/>
    </format>
    <format dxfId="52">
      <pivotArea field="3" type="button" dataOnly="0" labelOnly="1" outline="0"/>
    </format>
    <format dxfId="51">
      <pivotArea dataOnly="0" labelOnly="1" grandRow="1" outline="0" fieldPosition="0"/>
    </format>
    <format dxfId="50">
      <pivotArea dataOnly="0" labelOnly="1" outline="0" axis="axisValues" fieldPosition="0"/>
    </format>
    <format dxfId="49">
      <pivotArea outline="0" collapsedLevelsAreSubtotals="1" fieldPosition="0"/>
    </format>
    <format dxfId="48">
      <pivotArea collapsedLevelsAreSubtotals="1" fieldPosition="0">
        <references count="1">
          <reference field="4" count="1">
            <x v="0"/>
          </reference>
        </references>
      </pivotArea>
    </format>
    <format dxfId="47">
      <pivotArea field="4" type="button" dataOnly="0" labelOnly="1" outline="0" axis="axisRow" fieldPosition="0"/>
    </format>
    <format dxfId="46">
      <pivotArea dataOnly="0" labelOnly="1" fieldPosition="0">
        <references count="1">
          <reference field="4" count="1">
            <x v="0"/>
          </reference>
        </references>
      </pivotArea>
    </format>
    <format dxfId="45">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760C404-B460-4A0C-9E81-19D266D54BCD}"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J3:K20" firstHeaderRow="1" firstDataRow="1" firstDataCol="1"/>
  <pivotFields count="12">
    <pivotField showAll="0"/>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5">
        <item x="0"/>
        <item x="2"/>
        <item x="3"/>
        <item x="1"/>
        <item t="default"/>
      </items>
    </pivotField>
    <pivotField showAll="0">
      <items count="9">
        <item x="0"/>
        <item x="3"/>
        <item x="2"/>
        <item x="1"/>
        <item x="4"/>
        <item x="6"/>
        <item x="5"/>
        <item m="1" x="7"/>
        <item t="default"/>
      </items>
    </pivotField>
    <pivotField axis="axisRow" showAll="0" sortType="ascending">
      <items count="17">
        <item x="5"/>
        <item x="9"/>
        <item x="2"/>
        <item x="13"/>
        <item x="8"/>
        <item x="3"/>
        <item x="1"/>
        <item x="10"/>
        <item x="12"/>
        <item x="15"/>
        <item x="0"/>
        <item x="6"/>
        <item x="11"/>
        <item x="14"/>
        <item x="4"/>
        <item x="7"/>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17">
    <i>
      <x/>
    </i>
    <i>
      <x v="1"/>
    </i>
    <i>
      <x v="2"/>
    </i>
    <i>
      <x v="3"/>
    </i>
    <i>
      <x v="4"/>
    </i>
    <i>
      <x v="5"/>
    </i>
    <i>
      <x v="6"/>
    </i>
    <i>
      <x v="7"/>
    </i>
    <i>
      <x v="8"/>
    </i>
    <i>
      <x v="9"/>
    </i>
    <i>
      <x v="10"/>
    </i>
    <i>
      <x v="11"/>
    </i>
    <i>
      <x v="12"/>
    </i>
    <i>
      <x v="13"/>
    </i>
    <i>
      <x v="14"/>
    </i>
    <i>
      <x v="15"/>
    </i>
    <i t="grand">
      <x/>
    </i>
  </rowItems>
  <colItems count="1">
    <i/>
  </colItems>
  <dataFields count="1">
    <dataField name="Sum of Total_Sales" fld="8" baseField="0" baseItem="0" numFmtId="164"/>
  </dataFields>
  <formats count="8">
    <format dxfId="62">
      <pivotArea type="all" dataOnly="0" outline="0" fieldPosition="0"/>
    </format>
    <format dxfId="61">
      <pivotArea outline="0" collapsedLevelsAreSubtotals="1" fieldPosition="0"/>
    </format>
    <format dxfId="60">
      <pivotArea field="3" type="button" dataOnly="0" labelOnly="1" outline="0"/>
    </format>
    <format dxfId="59">
      <pivotArea dataOnly="0" labelOnly="1" grandRow="1" outline="0" fieldPosition="0"/>
    </format>
    <format dxfId="58">
      <pivotArea dataOnly="0" labelOnly="1" outline="0" axis="axisValues" fieldPosition="0"/>
    </format>
    <format dxfId="57">
      <pivotArea outline="0" collapsedLevelsAreSubtotals="1" fieldPosition="0"/>
    </format>
    <format dxfId="56">
      <pivotArea field="4" type="button" dataOnly="0" labelOnly="1" outline="0"/>
    </format>
    <format dxfId="55">
      <pivotArea dataOnly="0" labelOnly="1" outline="0" axis="axisValues" fieldPosition="0"/>
    </format>
  </formats>
  <chartFormats count="16">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5" count="1" selected="0">
            <x v="8"/>
          </reference>
        </references>
      </pivotArea>
    </chartFormat>
    <chartFormat chart="5" format="4">
      <pivotArea type="data" outline="0" fieldPosition="0">
        <references count="2">
          <reference field="4294967294" count="1" selected="0">
            <x v="0"/>
          </reference>
          <reference field="5" count="1" selected="0">
            <x v="12"/>
          </reference>
        </references>
      </pivotArea>
    </chartFormat>
    <chartFormat chart="5" format="5">
      <pivotArea type="data" outline="0" fieldPosition="0">
        <references count="2">
          <reference field="4294967294" count="1" selected="0">
            <x v="0"/>
          </reference>
          <reference field="5" count="1" selected="0">
            <x v="14"/>
          </reference>
        </references>
      </pivotArea>
    </chartFormat>
    <chartFormat chart="5" format="6">
      <pivotArea type="data" outline="0" fieldPosition="0">
        <references count="2">
          <reference field="4294967294" count="1" selected="0">
            <x v="0"/>
          </reference>
          <reference field="5" count="1" selected="0">
            <x v="15"/>
          </reference>
        </references>
      </pivotArea>
    </chartFormat>
    <chartFormat chart="5" format="7">
      <pivotArea type="data" outline="0" fieldPosition="0">
        <references count="2">
          <reference field="4294967294" count="1" selected="0">
            <x v="0"/>
          </reference>
          <reference field="5" count="1" selected="0">
            <x v="13"/>
          </reference>
        </references>
      </pivotArea>
    </chartFormat>
    <chartFormat chart="5" format="8">
      <pivotArea type="data" outline="0" fieldPosition="0">
        <references count="2">
          <reference field="4294967294" count="1" selected="0">
            <x v="0"/>
          </reference>
          <reference field="5" count="1" selected="0">
            <x v="9"/>
          </reference>
        </references>
      </pivotArea>
    </chartFormat>
    <chartFormat chart="5" format="9">
      <pivotArea type="data" outline="0" fieldPosition="0">
        <references count="2">
          <reference field="4294967294" count="1" selected="0">
            <x v="0"/>
          </reference>
          <reference field="5" count="1" selected="0">
            <x v="10"/>
          </reference>
        </references>
      </pivotArea>
    </chartFormat>
    <chartFormat chart="5" format="10">
      <pivotArea type="data" outline="0" fieldPosition="0">
        <references count="2">
          <reference field="4294967294" count="1" selected="0">
            <x v="0"/>
          </reference>
          <reference field="5" count="1" selected="0">
            <x v="1"/>
          </reference>
        </references>
      </pivotArea>
    </chartFormat>
    <chartFormat chart="5" format="11">
      <pivotArea type="data" outline="0" fieldPosition="0">
        <references count="2">
          <reference field="4294967294" count="1" selected="0">
            <x v="0"/>
          </reference>
          <reference field="5" count="1" selected="0">
            <x v="0"/>
          </reference>
        </references>
      </pivotArea>
    </chartFormat>
    <chartFormat chart="5" format="12">
      <pivotArea type="data" outline="0" fieldPosition="0">
        <references count="2">
          <reference field="4294967294" count="1" selected="0">
            <x v="0"/>
          </reference>
          <reference field="5" count="1" selected="0">
            <x v="2"/>
          </reference>
        </references>
      </pivotArea>
    </chartFormat>
    <chartFormat chart="5" format="13">
      <pivotArea type="data" outline="0" fieldPosition="0">
        <references count="2">
          <reference field="4294967294" count="1" selected="0">
            <x v="0"/>
          </reference>
          <reference field="5" count="1" selected="0">
            <x v="3"/>
          </reference>
        </references>
      </pivotArea>
    </chartFormat>
    <chartFormat chart="5" format="14">
      <pivotArea type="data" outline="0" fieldPosition="0">
        <references count="2">
          <reference field="4294967294" count="1" selected="0">
            <x v="0"/>
          </reference>
          <reference field="5" count="1" selected="0">
            <x v="4"/>
          </reference>
        </references>
      </pivotArea>
    </chartFormat>
    <chartFormat chart="5" format="15">
      <pivotArea type="data" outline="0" fieldPosition="0">
        <references count="2">
          <reference field="4294967294" count="1" selected="0">
            <x v="0"/>
          </reference>
          <reference field="5" count="1" selected="0">
            <x v="11"/>
          </reference>
        </references>
      </pivotArea>
    </chartFormat>
    <chartFormat chart="5" format="16">
      <pivotArea type="data" outline="0" fieldPosition="0">
        <references count="2">
          <reference field="4294967294" count="1" selected="0">
            <x v="0"/>
          </reference>
          <reference field="5" count="1" selected="0">
            <x v="6"/>
          </reference>
        </references>
      </pivotArea>
    </chartFormat>
    <chartFormat chart="5" format="17">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6EB18D-7512-4F21-BE76-463D07D8D52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6:G27" firstHeaderRow="1" firstDataRow="1" firstDataCol="0"/>
  <pivotFields count="12">
    <pivotField showAll="0"/>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5">
        <item x="0"/>
        <item x="2"/>
        <item x="3"/>
        <item x="1"/>
        <item t="default"/>
      </items>
    </pivotField>
    <pivotField showAll="0">
      <items count="9">
        <item x="0"/>
        <item x="3"/>
        <item x="2"/>
        <item x="1"/>
        <item x="4"/>
        <item x="6"/>
        <item x="5"/>
        <item m="1" x="7"/>
        <item t="default"/>
      </items>
    </pivotField>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Count of Quantities" fld="6" subtotal="count" baseField="0" baseItem="0"/>
  </dataFields>
  <formats count="9">
    <format dxfId="71">
      <pivotArea type="all" dataOnly="0" outline="0" fieldPosition="0"/>
    </format>
    <format dxfId="70">
      <pivotArea outline="0" collapsedLevelsAreSubtotals="1" fieldPosition="0"/>
    </format>
    <format dxfId="69">
      <pivotArea field="3" type="button" dataOnly="0" labelOnly="1" outline="0"/>
    </format>
    <format dxfId="68">
      <pivotArea dataOnly="0" labelOnly="1" grandRow="1" outline="0" fieldPosition="0"/>
    </format>
    <format dxfId="67">
      <pivotArea dataOnly="0" labelOnly="1" outline="0" axis="axisValues" fieldPosition="0"/>
    </format>
    <format dxfId="66">
      <pivotArea outline="0" collapsedLevelsAreSubtotals="1" fieldPosition="0"/>
    </format>
    <format dxfId="65">
      <pivotArea field="4" type="button" dataOnly="0" labelOnly="1" outline="0"/>
    </format>
    <format dxfId="64">
      <pivotArea dataOnly="0" labelOnly="1" outline="0" axis="axisValues" fieldPosition="0"/>
    </format>
    <format dxfId="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EDB7ACE-D8E4-4492-82C0-AC6728FAE0D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6" firstHeaderRow="1" firstDataRow="1" firstDataCol="1"/>
  <pivotFields count="12">
    <pivotField showAll="0"/>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5">
        <item x="0"/>
        <item x="2"/>
        <item x="3"/>
        <item x="1"/>
        <item t="default"/>
      </items>
    </pivotField>
    <pivotField showAll="0">
      <items count="9">
        <item x="0"/>
        <item x="3"/>
        <item x="2"/>
        <item x="1"/>
        <item x="4"/>
        <item x="6"/>
        <item x="5"/>
        <item m="1" x="7"/>
        <item t="default"/>
      </items>
    </pivotField>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Total_Sales" fld="8" baseField="0" baseItem="0" numFmtId="164"/>
  </dataFields>
  <formats count="8">
    <format dxfId="79">
      <pivotArea type="all" dataOnly="0" outline="0" fieldPosition="0"/>
    </format>
    <format dxfId="78">
      <pivotArea outline="0" collapsedLevelsAreSubtotals="1" fieldPosition="0"/>
    </format>
    <format dxfId="77">
      <pivotArea field="3" type="button" dataOnly="0" labelOnly="1" outline="0"/>
    </format>
    <format dxfId="76">
      <pivotArea dataOnly="0" labelOnly="1" grandRow="1" outline="0" fieldPosition="0"/>
    </format>
    <format dxfId="75">
      <pivotArea dataOnly="0" labelOnly="1" outline="0" axis="axisValues" fieldPosition="0"/>
    </format>
    <format dxfId="74">
      <pivotArea outline="0" collapsedLevelsAreSubtotals="1" fieldPosition="0"/>
    </format>
    <format dxfId="73">
      <pivotArea field="4" type="button" dataOnly="0" labelOnly="1" outline="0"/>
    </format>
    <format dxfId="72">
      <pivotArea dataOnly="0" labelOnly="1" outline="0" axis="axisValues"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127C99F-7772-416A-9C2D-B7CE4D13B92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6" firstHeaderRow="1" firstDataRow="1" firstDataCol="1"/>
  <pivotFields count="12">
    <pivotField showAll="0"/>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5">
        <item x="0"/>
        <item x="2"/>
        <item x="3"/>
        <item x="1"/>
        <item t="default"/>
      </items>
    </pivotField>
    <pivotField showAll="0">
      <items count="9">
        <item x="0"/>
        <item x="3"/>
        <item x="2"/>
        <item x="1"/>
        <item x="4"/>
        <item x="6"/>
        <item x="5"/>
        <item m="1" x="7"/>
        <item t="default"/>
      </items>
    </pivotField>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Quantities" fld="6" baseField="0" baseItem="0"/>
  </dataFields>
  <formats count="8">
    <format dxfId="87">
      <pivotArea type="all" dataOnly="0" outline="0" fieldPosition="0"/>
    </format>
    <format dxfId="86">
      <pivotArea outline="0" collapsedLevelsAreSubtotals="1" fieldPosition="0"/>
    </format>
    <format dxfId="85">
      <pivotArea field="3" type="button" dataOnly="0" labelOnly="1" outline="0"/>
    </format>
    <format dxfId="84">
      <pivotArea dataOnly="0" labelOnly="1" grandRow="1" outline="0" fieldPosition="0"/>
    </format>
    <format dxfId="83">
      <pivotArea dataOnly="0" labelOnly="1" outline="0" axis="axisValues" fieldPosition="0"/>
    </format>
    <format dxfId="82">
      <pivotArea outline="0" collapsedLevelsAreSubtotals="1" fieldPosition="0"/>
    </format>
    <format dxfId="81">
      <pivotArea field="4" type="button" dataOnly="0" labelOnly="1" outline="0"/>
    </format>
    <format dxfId="8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906CBC8-647B-4B08-A7B9-F4EC4252A8A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24:K28" firstHeaderRow="1" firstDataRow="1" firstDataCol="1"/>
  <pivotFields count="12">
    <pivotField showAll="0"/>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5">
        <item x="0"/>
        <item x="2"/>
        <item x="3"/>
        <item x="1"/>
        <item t="default"/>
      </items>
    </pivotField>
    <pivotField showAll="0">
      <items count="9">
        <item m="1" x="7"/>
        <item x="6"/>
        <item x="0"/>
        <item x="3"/>
        <item x="2"/>
        <item x="1"/>
        <item x="5"/>
        <item x="4"/>
        <item t="default"/>
      </items>
    </pivotField>
    <pivotField axis="axisRow" showAll="0" measureFilter="1">
      <items count="17">
        <item x="5"/>
        <item x="9"/>
        <item x="2"/>
        <item x="13"/>
        <item x="8"/>
        <item x="3"/>
        <item x="1"/>
        <item x="10"/>
        <item x="12"/>
        <item x="15"/>
        <item x="0"/>
        <item x="6"/>
        <item x="11"/>
        <item x="14"/>
        <item x="4"/>
        <item x="7"/>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4">
    <i>
      <x v="5"/>
    </i>
    <i>
      <x v="6"/>
    </i>
    <i>
      <x v="7"/>
    </i>
    <i t="grand">
      <x/>
    </i>
  </rowItems>
  <colItems count="1">
    <i/>
  </colItems>
  <dataFields count="1">
    <dataField name="Sum of Quantities" fld="6" baseField="0" baseItem="0"/>
  </dataFields>
  <formats count="12">
    <format dxfId="99">
      <pivotArea type="all" dataOnly="0" outline="0" fieldPosition="0"/>
    </format>
    <format dxfId="98">
      <pivotArea outline="0" collapsedLevelsAreSubtotals="1" fieldPosition="0"/>
    </format>
    <format dxfId="97">
      <pivotArea field="3" type="button" dataOnly="0" labelOnly="1" outline="0"/>
    </format>
    <format dxfId="96">
      <pivotArea dataOnly="0" labelOnly="1" grandRow="1" outline="0" fieldPosition="0"/>
    </format>
    <format dxfId="95">
      <pivotArea dataOnly="0" labelOnly="1" outline="0" axis="axisValues" fieldPosition="0"/>
    </format>
    <format dxfId="94">
      <pivotArea outline="0" collapsedLevelsAreSubtotals="1" fieldPosition="0"/>
    </format>
    <format dxfId="93">
      <pivotArea type="all" dataOnly="0" outline="0" fieldPosition="0"/>
    </format>
    <format dxfId="92">
      <pivotArea outline="0" collapsedLevelsAreSubtotals="1" fieldPosition="0"/>
    </format>
    <format dxfId="91">
      <pivotArea field="5" type="button" dataOnly="0" labelOnly="1" outline="0" axis="axisRow" fieldPosition="0"/>
    </format>
    <format dxfId="90">
      <pivotArea dataOnly="0" labelOnly="1" fieldPosition="0">
        <references count="1">
          <reference field="5" count="0"/>
        </references>
      </pivotArea>
    </format>
    <format dxfId="89">
      <pivotArea dataOnly="0" labelOnly="1" grandRow="1" outline="0" fieldPosition="0"/>
    </format>
    <format dxfId="88">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510D102-9CEB-4630-8565-7C4BAF10DF0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29:H46" firstHeaderRow="1" firstDataRow="1" firstDataCol="1"/>
  <pivotFields count="12">
    <pivotField showAll="0"/>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5">
        <item x="0"/>
        <item x="2"/>
        <item x="3"/>
        <item x="1"/>
        <item t="default"/>
      </items>
    </pivotField>
    <pivotField showAll="0">
      <items count="9">
        <item m="1" x="7"/>
        <item x="6"/>
        <item x="0"/>
        <item x="3"/>
        <item x="2"/>
        <item x="1"/>
        <item x="5"/>
        <item x="4"/>
        <item t="default"/>
      </items>
    </pivotField>
    <pivotField axis="axisRow" showAll="0">
      <items count="17">
        <item x="5"/>
        <item x="9"/>
        <item x="2"/>
        <item x="13"/>
        <item x="8"/>
        <item x="3"/>
        <item x="1"/>
        <item x="10"/>
        <item x="12"/>
        <item x="15"/>
        <item x="0"/>
        <item x="6"/>
        <item x="11"/>
        <item x="14"/>
        <item x="4"/>
        <item x="7"/>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17">
    <i>
      <x/>
    </i>
    <i>
      <x v="1"/>
    </i>
    <i>
      <x v="2"/>
    </i>
    <i>
      <x v="3"/>
    </i>
    <i>
      <x v="4"/>
    </i>
    <i>
      <x v="5"/>
    </i>
    <i>
      <x v="6"/>
    </i>
    <i>
      <x v="7"/>
    </i>
    <i>
      <x v="8"/>
    </i>
    <i>
      <x v="9"/>
    </i>
    <i>
      <x v="10"/>
    </i>
    <i>
      <x v="11"/>
    </i>
    <i>
      <x v="12"/>
    </i>
    <i>
      <x v="13"/>
    </i>
    <i>
      <x v="14"/>
    </i>
    <i>
      <x v="15"/>
    </i>
    <i t="grand">
      <x/>
    </i>
  </rowItems>
  <colItems count="1">
    <i/>
  </colItems>
  <dataFields count="1">
    <dataField name="Sum of Quantities" fld="6" baseField="0" baseItem="0"/>
  </dataFields>
  <formats count="12">
    <format dxfId="111">
      <pivotArea type="all" dataOnly="0" outline="0" fieldPosition="0"/>
    </format>
    <format dxfId="110">
      <pivotArea outline="0" collapsedLevelsAreSubtotals="1" fieldPosition="0"/>
    </format>
    <format dxfId="109">
      <pivotArea field="3" type="button" dataOnly="0" labelOnly="1" outline="0"/>
    </format>
    <format dxfId="108">
      <pivotArea dataOnly="0" labelOnly="1" grandRow="1" outline="0" fieldPosition="0"/>
    </format>
    <format dxfId="107">
      <pivotArea dataOnly="0" labelOnly="1" outline="0" axis="axisValues" fieldPosition="0"/>
    </format>
    <format dxfId="106">
      <pivotArea outline="0" collapsedLevelsAreSubtotals="1" fieldPosition="0"/>
    </format>
    <format dxfId="105">
      <pivotArea type="all" dataOnly="0" outline="0" fieldPosition="0"/>
    </format>
    <format dxfId="104">
      <pivotArea outline="0" collapsedLevelsAreSubtotals="1" fieldPosition="0"/>
    </format>
    <format dxfId="103">
      <pivotArea field="5" type="button" dataOnly="0" labelOnly="1" outline="0" axis="axisRow" fieldPosition="0"/>
    </format>
    <format dxfId="102">
      <pivotArea dataOnly="0" labelOnly="1" fieldPosition="0">
        <references count="1">
          <reference field="5" count="0"/>
        </references>
      </pivotArea>
    </format>
    <format dxfId="101">
      <pivotArea dataOnly="0" labelOnly="1" grandRow="1" outline="0" fieldPosition="0"/>
    </format>
    <format dxfId="10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5A7FB8F-AD1C-449F-859D-42840D75359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B49:G67" firstHeaderRow="1" firstDataRow="2" firstDataCol="1"/>
  <pivotFields count="12">
    <pivotField showAll="0"/>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Col" dataField="1" multipleItemSelectionAllowed="1" showAll="0">
      <items count="5">
        <item x="0"/>
        <item x="2"/>
        <item x="3"/>
        <item x="1"/>
        <item t="default"/>
      </items>
    </pivotField>
    <pivotField showAll="0">
      <items count="9">
        <item m="1" x="7"/>
        <item x="6"/>
        <item x="0"/>
        <item x="3"/>
        <item x="2"/>
        <item x="1"/>
        <item x="5"/>
        <item x="4"/>
        <item t="default"/>
      </items>
    </pivotField>
    <pivotField axis="axisRow" showAll="0">
      <items count="17">
        <item x="5"/>
        <item x="9"/>
        <item x="2"/>
        <item x="13"/>
        <item x="8"/>
        <item x="3"/>
        <item x="1"/>
        <item x="10"/>
        <item x="12"/>
        <item x="15"/>
        <item x="0"/>
        <item x="6"/>
        <item x="11"/>
        <item x="14"/>
        <item x="4"/>
        <item x="7"/>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17">
    <i>
      <x/>
    </i>
    <i>
      <x v="1"/>
    </i>
    <i>
      <x v="2"/>
    </i>
    <i>
      <x v="3"/>
    </i>
    <i>
      <x v="4"/>
    </i>
    <i>
      <x v="5"/>
    </i>
    <i>
      <x v="6"/>
    </i>
    <i>
      <x v="7"/>
    </i>
    <i>
      <x v="8"/>
    </i>
    <i>
      <x v="9"/>
    </i>
    <i>
      <x v="10"/>
    </i>
    <i>
      <x v="11"/>
    </i>
    <i>
      <x v="12"/>
    </i>
    <i>
      <x v="13"/>
    </i>
    <i>
      <x v="14"/>
    </i>
    <i>
      <x v="15"/>
    </i>
    <i t="grand">
      <x/>
    </i>
  </rowItems>
  <colFields count="1">
    <field x="3"/>
  </colFields>
  <colItems count="5">
    <i>
      <x/>
    </i>
    <i>
      <x v="1"/>
    </i>
    <i>
      <x v="2"/>
    </i>
    <i>
      <x v="3"/>
    </i>
    <i t="grand">
      <x/>
    </i>
  </colItems>
  <dataFields count="1">
    <dataField name="Count of Region" fld="3" subtotal="count" showDataAs="percentOfTotal" baseField="0" baseItem="0" numFmtId="10"/>
  </dataFields>
  <formats count="13">
    <format dxfId="124">
      <pivotArea type="all" dataOnly="0" outline="0" fieldPosition="0"/>
    </format>
    <format dxfId="123">
      <pivotArea outline="0" collapsedLevelsAreSubtotals="1" fieldPosition="0"/>
    </format>
    <format dxfId="122">
      <pivotArea field="3" type="button" dataOnly="0" labelOnly="1" outline="0" axis="axisCol" fieldPosition="0"/>
    </format>
    <format dxfId="121">
      <pivotArea dataOnly="0" labelOnly="1" grandRow="1" outline="0" fieldPosition="0"/>
    </format>
    <format dxfId="120">
      <pivotArea dataOnly="0" labelOnly="1" outline="0" axis="axisValues" fieldPosition="0"/>
    </format>
    <format dxfId="119">
      <pivotArea outline="0" collapsedLevelsAreSubtotals="1" fieldPosition="0"/>
    </format>
    <format dxfId="118">
      <pivotArea type="all" dataOnly="0" outline="0" fieldPosition="0"/>
    </format>
    <format dxfId="117">
      <pivotArea outline="0" collapsedLevelsAreSubtotals="1" fieldPosition="0"/>
    </format>
    <format dxfId="116">
      <pivotArea field="5" type="button" dataOnly="0" labelOnly="1" outline="0" axis="axisRow" fieldPosition="0"/>
    </format>
    <format dxfId="115">
      <pivotArea dataOnly="0" labelOnly="1" fieldPosition="0">
        <references count="1">
          <reference field="5" count="0"/>
        </references>
      </pivotArea>
    </format>
    <format dxfId="114">
      <pivotArea dataOnly="0" labelOnly="1" grandRow="1" outline="0" fieldPosition="0"/>
    </format>
    <format dxfId="113">
      <pivotArea dataOnly="0" labelOnly="1" outline="0" axis="axisValues" fieldPosition="0"/>
    </format>
    <format dxfId="112">
      <pivotArea outline="0" fieldPosition="0">
        <references count="1">
          <reference field="4294967294" count="1">
            <x v="0"/>
          </reference>
        </references>
      </pivotArea>
    </format>
  </formats>
  <conditionalFormats count="3">
    <conditionalFormat type="all" priority="4">
      <pivotAreas count="1">
        <pivotArea type="data" collapsedLevelsAreSubtotals="1" fieldPosition="0">
          <references count="3">
            <reference field="4294967294" count="1" selected="0">
              <x v="0"/>
            </reference>
            <reference field="3" count="1" selected="0">
              <x v="0"/>
            </reference>
            <reference field="5" count="16">
              <x v="0"/>
              <x v="1"/>
              <x v="2"/>
              <x v="3"/>
              <x v="4"/>
              <x v="5"/>
              <x v="6"/>
              <x v="7"/>
              <x v="8"/>
              <x v="9"/>
              <x v="10"/>
              <x v="11"/>
              <x v="12"/>
              <x v="13"/>
              <x v="14"/>
              <x v="15"/>
            </reference>
          </references>
        </pivotArea>
      </pivotAreas>
    </conditionalFormat>
    <conditionalFormat type="all" priority="3">
      <pivotAreas count="1">
        <pivotArea type="data" collapsedLevelsAreSubtotals="1" fieldPosition="0">
          <references count="3">
            <reference field="4294967294" count="1" selected="0">
              <x v="0"/>
            </reference>
            <reference field="3" count="1" selected="0">
              <x v="1"/>
            </reference>
            <reference field="5" count="16">
              <x v="0"/>
              <x v="1"/>
              <x v="2"/>
              <x v="3"/>
              <x v="4"/>
              <x v="5"/>
              <x v="6"/>
              <x v="7"/>
              <x v="8"/>
              <x v="9"/>
              <x v="10"/>
              <x v="11"/>
              <x v="12"/>
              <x v="13"/>
              <x v="14"/>
              <x v="15"/>
            </reference>
          </references>
        </pivotArea>
      </pivotAreas>
    </conditionalFormat>
    <conditionalFormat type="all" priority="2">
      <pivotAreas count="1">
        <pivotArea type="data" collapsedLevelsAreSubtotals="1" fieldPosition="0">
          <references count="3">
            <reference field="4294967294" count="1" selected="0">
              <x v="0"/>
            </reference>
            <reference field="3" count="1" selected="0">
              <x v="2"/>
            </reference>
            <reference field="5" count="16">
              <x v="0"/>
              <x v="1"/>
              <x v="2"/>
              <x v="3"/>
              <x v="4"/>
              <x v="5"/>
              <x v="6"/>
              <x v="7"/>
              <x v="8"/>
              <x v="9"/>
              <x v="10"/>
              <x v="11"/>
              <x v="12"/>
              <x v="13"/>
              <x v="14"/>
              <x v="15"/>
            </reference>
          </references>
        </pivotArea>
      </pivotAreas>
    </conditionalFormat>
  </conditionalFormats>
  <chartFormats count="5">
    <chartFormat chart="30" format="11" series="1">
      <pivotArea type="data" outline="0" fieldPosition="0">
        <references count="2">
          <reference field="4294967294" count="1" selected="0">
            <x v="0"/>
          </reference>
          <reference field="3" count="1" selected="0">
            <x v="0"/>
          </reference>
        </references>
      </pivotArea>
    </chartFormat>
    <chartFormat chart="30" format="12" series="1">
      <pivotArea type="data" outline="0" fieldPosition="0">
        <references count="2">
          <reference field="4294967294" count="1" selected="0">
            <x v="0"/>
          </reference>
          <reference field="3" count="1" selected="0">
            <x v="1"/>
          </reference>
        </references>
      </pivotArea>
    </chartFormat>
    <chartFormat chart="30" format="13" series="1">
      <pivotArea type="data" outline="0" fieldPosition="0">
        <references count="2">
          <reference field="4294967294" count="1" selected="0">
            <x v="0"/>
          </reference>
          <reference field="3" count="1" selected="0">
            <x v="2"/>
          </reference>
        </references>
      </pivotArea>
    </chartFormat>
    <chartFormat chart="30" format="14" series="1">
      <pivotArea type="data" outline="0" fieldPosition="0">
        <references count="2">
          <reference field="4294967294" count="1" selected="0">
            <x v="0"/>
          </reference>
          <reference field="3" count="1" selected="0">
            <x v="3"/>
          </reference>
        </references>
      </pivotArea>
    </chartFormat>
    <chartFormat chart="30"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C65AC44-0878-4DD9-BB45-C271875AD13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8:B32" firstHeaderRow="1" firstDataRow="1" firstDataCol="1"/>
  <pivotFields count="12">
    <pivotField showAll="0"/>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5">
        <item x="0"/>
        <item x="2"/>
        <item x="3"/>
        <item x="1"/>
        <item t="default"/>
      </items>
    </pivotField>
    <pivotField showAll="0">
      <items count="9">
        <item m="1" x="7"/>
        <item x="6"/>
        <item x="0"/>
        <item x="3"/>
        <item x="2"/>
        <item x="1"/>
        <item x="5"/>
        <item x="4"/>
        <item t="default"/>
      </items>
    </pivotField>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1"/>
  </rowFields>
  <rowItems count="4">
    <i>
      <x v="1"/>
    </i>
    <i>
      <x v="2"/>
    </i>
    <i>
      <x v="3"/>
    </i>
    <i t="grand">
      <x/>
    </i>
  </rowItems>
  <colItems count="1">
    <i/>
  </colItems>
  <dataFields count="1">
    <dataField name="Sum of Total_Sales" fld="8" showDataAs="percentOfTotal" baseField="0" baseItem="0" numFmtId="10"/>
  </dataFields>
  <formats count="6">
    <format dxfId="130">
      <pivotArea type="all" dataOnly="0" outline="0" fieldPosition="0"/>
    </format>
    <format dxfId="129">
      <pivotArea outline="0" collapsedLevelsAreSubtotals="1" fieldPosition="0"/>
    </format>
    <format dxfId="128">
      <pivotArea field="3" type="button" dataOnly="0" labelOnly="1" outline="0"/>
    </format>
    <format dxfId="127">
      <pivotArea dataOnly="0" labelOnly="1" grandRow="1" outline="0" fieldPosition="0"/>
    </format>
    <format dxfId="126">
      <pivotArea dataOnly="0" labelOnly="1" outline="0" axis="axisValues" fieldPosition="0"/>
    </format>
    <format dxfId="125">
      <pivotArea outline="0" fieldPosition="0">
        <references count="1">
          <reference field="4294967294" count="1">
            <x v="0"/>
          </reference>
        </references>
      </pivotArea>
    </format>
  </formats>
  <chartFormats count="16">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11" count="1" selected="0">
            <x v="1"/>
          </reference>
        </references>
      </pivotArea>
    </chartFormat>
    <chartFormat chart="16" format="7">
      <pivotArea type="data" outline="0" fieldPosition="0">
        <references count="2">
          <reference field="4294967294" count="1" selected="0">
            <x v="0"/>
          </reference>
          <reference field="11" count="1" selected="0">
            <x v="2"/>
          </reference>
        </references>
      </pivotArea>
    </chartFormat>
    <chartFormat chart="16" format="8">
      <pivotArea type="data" outline="0" fieldPosition="0">
        <references count="2">
          <reference field="4294967294" count="1" selected="0">
            <x v="0"/>
          </reference>
          <reference field="11" count="1" selected="0">
            <x v="3"/>
          </reference>
        </references>
      </pivotArea>
    </chartFormat>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11" count="1" selected="0">
            <x v="1"/>
          </reference>
        </references>
      </pivotArea>
    </chartFormat>
    <chartFormat chart="18" format="2">
      <pivotArea type="data" outline="0" fieldPosition="0">
        <references count="2">
          <reference field="4294967294" count="1" selected="0">
            <x v="0"/>
          </reference>
          <reference field="11" count="1" selected="0">
            <x v="3"/>
          </reference>
        </references>
      </pivotArea>
    </chartFormat>
    <chartFormat chart="18" format="3">
      <pivotArea type="data" outline="0" fieldPosition="0">
        <references count="2">
          <reference field="4294967294" count="1" selected="0">
            <x v="0"/>
          </reference>
          <reference field="11" count="1" selected="0">
            <x v="2"/>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11" count="1" selected="0">
            <x v="1"/>
          </reference>
        </references>
      </pivotArea>
    </chartFormat>
    <chartFormat chart="19" format="6">
      <pivotArea type="data" outline="0" fieldPosition="0">
        <references count="2">
          <reference field="4294967294" count="1" selected="0">
            <x v="0"/>
          </reference>
          <reference field="11" count="1" selected="0">
            <x v="2"/>
          </reference>
        </references>
      </pivotArea>
    </chartFormat>
    <chartFormat chart="19" format="7">
      <pivotArea type="data" outline="0" fieldPosition="0">
        <references count="2">
          <reference field="4294967294" count="1" selected="0">
            <x v="0"/>
          </reference>
          <reference field="11" count="1" selected="0">
            <x v="3"/>
          </reference>
        </references>
      </pivotArea>
    </chartFormat>
    <chartFormat chart="20" format="8" series="1">
      <pivotArea type="data" outline="0" fieldPosition="0">
        <references count="1">
          <reference field="4294967294" count="1" selected="0">
            <x v="0"/>
          </reference>
        </references>
      </pivotArea>
    </chartFormat>
    <chartFormat chart="20" format="9">
      <pivotArea type="data" outline="0" fieldPosition="0">
        <references count="2">
          <reference field="4294967294" count="1" selected="0">
            <x v="0"/>
          </reference>
          <reference field="11" count="1" selected="0">
            <x v="1"/>
          </reference>
        </references>
      </pivotArea>
    </chartFormat>
    <chartFormat chart="20" format="10">
      <pivotArea type="data" outline="0" fieldPosition="0">
        <references count="2">
          <reference field="4294967294" count="1" selected="0">
            <x v="0"/>
          </reference>
          <reference field="11" count="1" selected="0">
            <x v="2"/>
          </reference>
        </references>
      </pivotArea>
    </chartFormat>
    <chartFormat chart="20" format="1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176F5CA-DB54-41DF-A473-412A40BECD8F}" sourceName="Region">
  <pivotTables>
    <pivotTable tabId="2" name="PivotTable9"/>
    <pivotTable tabId="2" name="PivotTable11"/>
    <pivotTable tabId="2" name="PivotTable13"/>
    <pivotTable tabId="2" name="PivotTable14"/>
    <pivotTable tabId="2" name="PivotTable15"/>
    <pivotTable tabId="2" name="PivotTable6"/>
    <pivotTable tabId="2" name="PivotTable7"/>
    <pivotTable tabId="2" name="PivotTable8"/>
    <pivotTable tabId="2" name="PivotTable1"/>
    <pivotTable tabId="2" name="PivotTable2"/>
    <pivotTable tabId="2" name="PivotTable3"/>
    <pivotTable tabId="2" name="PivotTable4"/>
    <pivotTable tabId="2" name="PivotTable5"/>
    <pivotTable tabId="2" name="PivotTable12"/>
  </pivotTables>
  <data>
    <tabular pivotCacheId="685757492">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5A57C9C-97C3-4A7E-9B27-9A3940091A97}" sourceName="Product">
  <pivotTables>
    <pivotTable tabId="2" name="PivotTable9"/>
    <pivotTable tabId="2" name="PivotTable11"/>
    <pivotTable tabId="2" name="PivotTable13"/>
    <pivotTable tabId="2" name="PivotTable14"/>
    <pivotTable tabId="2" name="PivotTable15"/>
    <pivotTable tabId="2" name="PivotTable6"/>
    <pivotTable tabId="2" name="PivotTable7"/>
    <pivotTable tabId="2" name="PivotTable8"/>
    <pivotTable tabId="2" name="PivotTable1"/>
    <pivotTable tabId="2" name="PivotTable2"/>
    <pivotTable tabId="2" name="PivotTable3"/>
    <pivotTable tabId="2" name="PivotTable4"/>
    <pivotTable tabId="2" name="PivotTable5"/>
    <pivotTable tabId="2" name="PivotTable12"/>
  </pivotTables>
  <data>
    <tabular pivotCacheId="685757492">
      <items count="8">
        <i x="6" s="1"/>
        <i x="0" s="1"/>
        <i x="3" s="1"/>
        <i x="2" s="1"/>
        <i x="1" s="1"/>
        <i x="5" s="1"/>
        <i x="4" s="1"/>
        <i x="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20183F7A-1BAB-4D25-9ED4-06A426736648}" sourceName="Years (Date)">
  <pivotTables>
    <pivotTable tabId="2" name="PivotTable1"/>
    <pivotTable tabId="2" name="PivotTable11"/>
    <pivotTable tabId="2" name="PivotTable13"/>
    <pivotTable tabId="2" name="PivotTable14"/>
    <pivotTable tabId="2" name="PivotTable15"/>
    <pivotTable tabId="2" name="PivotTable2"/>
    <pivotTable tabId="2" name="PivotTable3"/>
    <pivotTable tabId="2" name="PivotTable4"/>
    <pivotTable tabId="2" name="PivotTable6"/>
    <pivotTable tabId="2" name="PivotTable7"/>
    <pivotTable tabId="2" name="PivotTable8"/>
    <pivotTable tabId="2" name="PivotTable9"/>
    <pivotTable tabId="2" name="PivotTable12"/>
  </pivotTables>
  <data>
    <tabular pivotCacheId="685757492">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57C4140-4F71-4DDE-AF68-EFB81F239A4D}" cache="Slicer_Region" caption="Region" style="SlicerStyleLight5" rowHeight="234950"/>
  <slicer name="Product" xr10:uid="{A46AB15F-F2E9-4601-B01D-1F161582BFC0}" cache="Slicer_Product" caption="Product" columnCount="7" style="SlicerStyleLight5" rowHeight="234950"/>
  <slicer name="Years (Date)" xr10:uid="{962B19E5-6069-4898-940D-BEE6DC436BBA}" cache="Slicer_Years__Date" caption="Year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424B5F5-D227-47EC-A3C0-960F93EFBC39}" cache="Slicer_Region" caption="Region" style="SlicerStyleLight5" rowHeight="234950"/>
  <slicer name="Product 1" xr10:uid="{B850BC3F-A2BD-49A4-8838-96CDDD1DEA1F}" cache="Slicer_Product" caption="Product" columnCount="7" style="SlicerStyleLight5"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0B4A70B6-BAF6-421A-B44F-EE55D49EB28A}" cache="Slicer_Region" caption="Region" style="SlicerStyleLight5" rowHeight="234950"/>
  <slicer name="Product 2" xr10:uid="{C99825C5-7B45-4F72-B689-A9F9AC13A7FC}" cache="Slicer_Product" caption="Product" columnCount="7" style="SlicerStyleLight5"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openxmlformats.org/officeDocument/2006/relationships/printerSettings" Target="../printerSettings/printerSettings2.bin"/><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pivotTable" Target="../pivotTables/pivotTable15.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9BC98-5BBA-44F2-8361-E548E0A95FF9}">
  <dimension ref="A1:I1001"/>
  <sheetViews>
    <sheetView topLeftCell="A969" workbookViewId="0"/>
  </sheetViews>
  <sheetFormatPr defaultRowHeight="14.4" x14ac:dyDescent="0.3"/>
  <cols>
    <col min="1" max="1" width="7.33203125" bestFit="1" customWidth="1"/>
    <col min="2" max="2" width="12" bestFit="1" customWidth="1"/>
    <col min="3" max="3" width="11" customWidth="1"/>
    <col min="4" max="4" width="8" bestFit="1" customWidth="1"/>
    <col min="5" max="5" width="13.6640625" bestFit="1" customWidth="1"/>
    <col min="6" max="6" width="13.44140625" bestFit="1" customWidth="1"/>
    <col min="7" max="7" width="11.6640625" bestFit="1" customWidth="1"/>
    <col min="8" max="8" width="11.77734375" bestFit="1" customWidth="1"/>
    <col min="9" max="9" width="12.6640625" bestFit="1" customWidth="1"/>
  </cols>
  <sheetData>
    <row r="1" spans="1:9" ht="18" x14ac:dyDescent="0.35">
      <c r="A1" s="5" t="s">
        <v>1013</v>
      </c>
      <c r="B1" s="5" t="s">
        <v>1014</v>
      </c>
      <c r="C1" s="5" t="s">
        <v>1015</v>
      </c>
      <c r="D1" s="5" t="s">
        <v>1016</v>
      </c>
      <c r="E1" s="5" t="s">
        <v>1017</v>
      </c>
      <c r="F1" s="5" t="s">
        <v>1018</v>
      </c>
      <c r="G1" s="5" t="s">
        <v>1019</v>
      </c>
      <c r="H1" s="5" t="s">
        <v>1020</v>
      </c>
      <c r="I1" s="5" t="s">
        <v>1021</v>
      </c>
    </row>
    <row r="2" spans="1:9" x14ac:dyDescent="0.3">
      <c r="A2" s="1">
        <v>1</v>
      </c>
      <c r="B2" s="2" t="s">
        <v>0</v>
      </c>
      <c r="C2" s="3">
        <v>44927</v>
      </c>
      <c r="D2" s="4" t="s">
        <v>1</v>
      </c>
      <c r="E2" s="4" t="s">
        <v>2</v>
      </c>
      <c r="F2" s="4" t="s">
        <v>3</v>
      </c>
      <c r="G2" s="4">
        <v>13</v>
      </c>
      <c r="H2" s="4">
        <v>68064</v>
      </c>
      <c r="I2" s="4">
        <f>G2*H2</f>
        <v>884832</v>
      </c>
    </row>
    <row r="3" spans="1:9" x14ac:dyDescent="0.3">
      <c r="A3" s="1">
        <v>2</v>
      </c>
      <c r="B3" s="2" t="s">
        <v>4</v>
      </c>
      <c r="C3" s="3">
        <v>44928</v>
      </c>
      <c r="D3" s="4" t="s">
        <v>5</v>
      </c>
      <c r="E3" s="4" t="s">
        <v>2</v>
      </c>
      <c r="F3" s="4" t="s">
        <v>3</v>
      </c>
      <c r="G3" s="4">
        <v>2</v>
      </c>
      <c r="H3" s="4">
        <v>68761</v>
      </c>
      <c r="I3" s="4">
        <f t="shared" ref="I3:I66" si="0">G3*H3</f>
        <v>137522</v>
      </c>
    </row>
    <row r="4" spans="1:9" x14ac:dyDescent="0.3">
      <c r="A4" s="1">
        <v>3</v>
      </c>
      <c r="B4" s="2" t="s">
        <v>6</v>
      </c>
      <c r="C4" s="3">
        <v>44929</v>
      </c>
      <c r="D4" s="4" t="s">
        <v>7</v>
      </c>
      <c r="E4" s="4" t="s">
        <v>2</v>
      </c>
      <c r="F4" s="4" t="s">
        <v>3</v>
      </c>
      <c r="G4" s="4">
        <v>17</v>
      </c>
      <c r="H4" s="4">
        <v>43870</v>
      </c>
      <c r="I4" s="4">
        <f t="shared" si="0"/>
        <v>745790</v>
      </c>
    </row>
    <row r="5" spans="1:9" x14ac:dyDescent="0.3">
      <c r="A5" s="1">
        <v>4</v>
      </c>
      <c r="B5" s="2" t="s">
        <v>8</v>
      </c>
      <c r="C5" s="3">
        <v>44930</v>
      </c>
      <c r="D5" s="4" t="s">
        <v>1</v>
      </c>
      <c r="E5" s="4" t="s">
        <v>9</v>
      </c>
      <c r="F5" s="4" t="s">
        <v>1026</v>
      </c>
      <c r="G5" s="4">
        <v>6</v>
      </c>
      <c r="H5" s="4">
        <v>35873</v>
      </c>
      <c r="I5" s="4">
        <f t="shared" si="0"/>
        <v>215238</v>
      </c>
    </row>
    <row r="6" spans="1:9" x14ac:dyDescent="0.3">
      <c r="A6" s="1">
        <v>5</v>
      </c>
      <c r="B6" s="2" t="s">
        <v>10</v>
      </c>
      <c r="C6" s="3">
        <v>44931</v>
      </c>
      <c r="D6" s="4" t="s">
        <v>1</v>
      </c>
      <c r="E6" s="4" t="s">
        <v>11</v>
      </c>
      <c r="F6" s="4" t="s">
        <v>1022</v>
      </c>
      <c r="G6" s="4">
        <v>4</v>
      </c>
      <c r="H6" s="4">
        <v>63627</v>
      </c>
      <c r="I6" s="4">
        <f t="shared" si="0"/>
        <v>254508</v>
      </c>
    </row>
    <row r="7" spans="1:9" x14ac:dyDescent="0.3">
      <c r="A7" s="1">
        <v>6</v>
      </c>
      <c r="B7" s="2" t="s">
        <v>13</v>
      </c>
      <c r="C7" s="3">
        <v>44932</v>
      </c>
      <c r="D7" s="4" t="s">
        <v>5</v>
      </c>
      <c r="E7" s="4" t="s">
        <v>9</v>
      </c>
      <c r="F7" s="4" t="s">
        <v>1024</v>
      </c>
      <c r="G7" s="4">
        <v>16</v>
      </c>
      <c r="H7" s="4">
        <v>71155</v>
      </c>
      <c r="I7" s="4">
        <f t="shared" si="0"/>
        <v>1138480</v>
      </c>
    </row>
    <row r="8" spans="1:9" x14ac:dyDescent="0.3">
      <c r="A8" s="1">
        <v>7</v>
      </c>
      <c r="B8" s="2" t="s">
        <v>14</v>
      </c>
      <c r="C8" s="3">
        <v>44933</v>
      </c>
      <c r="D8" s="4" t="s">
        <v>7</v>
      </c>
      <c r="E8" s="4" t="s">
        <v>11</v>
      </c>
      <c r="F8" s="4" t="s">
        <v>15</v>
      </c>
      <c r="G8" s="4">
        <v>15</v>
      </c>
      <c r="H8" s="4">
        <v>30372</v>
      </c>
      <c r="I8" s="4">
        <f t="shared" si="0"/>
        <v>455580</v>
      </c>
    </row>
    <row r="9" spans="1:9" x14ac:dyDescent="0.3">
      <c r="A9" s="1">
        <v>8</v>
      </c>
      <c r="B9" s="2" t="s">
        <v>16</v>
      </c>
      <c r="C9" s="3">
        <v>44934</v>
      </c>
      <c r="D9" s="4" t="s">
        <v>7</v>
      </c>
      <c r="E9" s="4" t="s">
        <v>9</v>
      </c>
      <c r="F9" s="4" t="s">
        <v>1024</v>
      </c>
      <c r="G9" s="4">
        <v>15</v>
      </c>
      <c r="H9" s="4">
        <v>8642</v>
      </c>
      <c r="I9" s="4">
        <f t="shared" si="0"/>
        <v>129630</v>
      </c>
    </row>
    <row r="10" spans="1:9" x14ac:dyDescent="0.3">
      <c r="A10" s="1">
        <v>9</v>
      </c>
      <c r="B10" s="2" t="s">
        <v>17</v>
      </c>
      <c r="C10" s="3">
        <v>44935</v>
      </c>
      <c r="D10" s="4" t="s">
        <v>1</v>
      </c>
      <c r="E10" s="4" t="s">
        <v>9</v>
      </c>
      <c r="F10" s="4" t="s">
        <v>1024</v>
      </c>
      <c r="G10" s="4">
        <v>6</v>
      </c>
      <c r="H10" s="4">
        <v>33001</v>
      </c>
      <c r="I10" s="4">
        <f t="shared" si="0"/>
        <v>198006</v>
      </c>
    </row>
    <row r="11" spans="1:9" x14ac:dyDescent="0.3">
      <c r="A11" s="1">
        <v>10</v>
      </c>
      <c r="B11" s="2" t="s">
        <v>18</v>
      </c>
      <c r="C11" s="3">
        <v>44936</v>
      </c>
      <c r="D11" s="4" t="s">
        <v>19</v>
      </c>
      <c r="E11" s="4" t="s">
        <v>20</v>
      </c>
      <c r="F11" s="4" t="s">
        <v>21</v>
      </c>
      <c r="G11" s="4">
        <v>15</v>
      </c>
      <c r="H11" s="4">
        <v>39064</v>
      </c>
      <c r="I11" s="4">
        <f t="shared" si="0"/>
        <v>585960</v>
      </c>
    </row>
    <row r="12" spans="1:9" x14ac:dyDescent="0.3">
      <c r="A12" s="1">
        <v>11</v>
      </c>
      <c r="B12" s="2" t="s">
        <v>22</v>
      </c>
      <c r="C12" s="3">
        <v>44937</v>
      </c>
      <c r="D12" s="4" t="s">
        <v>1</v>
      </c>
      <c r="E12" s="4" t="s">
        <v>9</v>
      </c>
      <c r="F12" s="4" t="s">
        <v>1022</v>
      </c>
      <c r="G12" s="4">
        <v>14</v>
      </c>
      <c r="H12" s="4">
        <v>19122</v>
      </c>
      <c r="I12" s="4">
        <f t="shared" si="0"/>
        <v>267708</v>
      </c>
    </row>
    <row r="13" spans="1:9" x14ac:dyDescent="0.3">
      <c r="A13" s="1">
        <v>12</v>
      </c>
      <c r="B13" s="2" t="s">
        <v>23</v>
      </c>
      <c r="C13" s="3">
        <v>44938</v>
      </c>
      <c r="D13" s="4" t="s">
        <v>1</v>
      </c>
      <c r="E13" s="4" t="s">
        <v>24</v>
      </c>
      <c r="F13" s="4" t="s">
        <v>21</v>
      </c>
      <c r="G13" s="4">
        <v>11</v>
      </c>
      <c r="H13" s="4">
        <v>29820</v>
      </c>
      <c r="I13" s="4">
        <f t="shared" si="0"/>
        <v>328020</v>
      </c>
    </row>
    <row r="14" spans="1:9" x14ac:dyDescent="0.3">
      <c r="A14" s="1">
        <v>13</v>
      </c>
      <c r="B14" s="2" t="s">
        <v>25</v>
      </c>
      <c r="C14" s="3">
        <v>44939</v>
      </c>
      <c r="D14" s="4" t="s">
        <v>1</v>
      </c>
      <c r="E14" s="4" t="s">
        <v>20</v>
      </c>
      <c r="F14" s="4" t="s">
        <v>1022</v>
      </c>
      <c r="G14" s="4">
        <v>7</v>
      </c>
      <c r="H14" s="4">
        <v>73431</v>
      </c>
      <c r="I14" s="4">
        <f t="shared" si="0"/>
        <v>514017</v>
      </c>
    </row>
    <row r="15" spans="1:9" x14ac:dyDescent="0.3">
      <c r="A15" s="1">
        <v>14</v>
      </c>
      <c r="B15" s="2" t="s">
        <v>26</v>
      </c>
      <c r="C15" s="3">
        <v>44940</v>
      </c>
      <c r="D15" s="4" t="s">
        <v>1</v>
      </c>
      <c r="E15" s="4" t="s">
        <v>9</v>
      </c>
      <c r="F15" s="4" t="s">
        <v>1022</v>
      </c>
      <c r="G15" s="4">
        <v>9</v>
      </c>
      <c r="H15" s="4">
        <v>60745</v>
      </c>
      <c r="I15" s="4">
        <f t="shared" si="0"/>
        <v>546705</v>
      </c>
    </row>
    <row r="16" spans="1:9" x14ac:dyDescent="0.3">
      <c r="A16" s="1">
        <v>15</v>
      </c>
      <c r="B16" s="2" t="s">
        <v>27</v>
      </c>
      <c r="C16" s="3">
        <v>44941</v>
      </c>
      <c r="D16" s="4" t="s">
        <v>5</v>
      </c>
      <c r="E16" s="4" t="s">
        <v>2</v>
      </c>
      <c r="F16" s="4" t="s">
        <v>3</v>
      </c>
      <c r="G16" s="4">
        <v>16</v>
      </c>
      <c r="H16" s="4">
        <v>55081</v>
      </c>
      <c r="I16" s="4">
        <f t="shared" si="0"/>
        <v>881296</v>
      </c>
    </row>
    <row r="17" spans="1:9" x14ac:dyDescent="0.3">
      <c r="A17" s="1">
        <v>16</v>
      </c>
      <c r="B17" s="2" t="s">
        <v>28</v>
      </c>
      <c r="C17" s="3">
        <v>44942</v>
      </c>
      <c r="D17" s="4" t="s">
        <v>7</v>
      </c>
      <c r="E17" s="4" t="s">
        <v>24</v>
      </c>
      <c r="F17" s="4" t="s">
        <v>1026</v>
      </c>
      <c r="G17" s="4">
        <v>5</v>
      </c>
      <c r="H17" s="4">
        <v>13711</v>
      </c>
      <c r="I17" s="4">
        <f t="shared" si="0"/>
        <v>68555</v>
      </c>
    </row>
    <row r="18" spans="1:9" x14ac:dyDescent="0.3">
      <c r="A18" s="1">
        <v>17</v>
      </c>
      <c r="B18" s="2" t="s">
        <v>29</v>
      </c>
      <c r="C18" s="3">
        <v>44943</v>
      </c>
      <c r="D18" s="4" t="s">
        <v>5</v>
      </c>
      <c r="E18" s="4" t="s">
        <v>24</v>
      </c>
      <c r="F18" s="4" t="s">
        <v>3</v>
      </c>
      <c r="G18" s="4">
        <v>10</v>
      </c>
      <c r="H18" s="4">
        <v>23793</v>
      </c>
      <c r="I18" s="4">
        <f t="shared" si="0"/>
        <v>237930</v>
      </c>
    </row>
    <row r="19" spans="1:9" x14ac:dyDescent="0.3">
      <c r="A19" s="1">
        <v>18</v>
      </c>
      <c r="B19" s="2" t="s">
        <v>30</v>
      </c>
      <c r="C19" s="3">
        <v>44944</v>
      </c>
      <c r="D19" s="4" t="s">
        <v>5</v>
      </c>
      <c r="E19" s="4" t="s">
        <v>24</v>
      </c>
      <c r="F19" s="4" t="s">
        <v>1026</v>
      </c>
      <c r="G19" s="4">
        <v>18</v>
      </c>
      <c r="H19" s="4">
        <v>13199</v>
      </c>
      <c r="I19" s="4">
        <f t="shared" si="0"/>
        <v>237582</v>
      </c>
    </row>
    <row r="20" spans="1:9" x14ac:dyDescent="0.3">
      <c r="A20" s="1">
        <v>19</v>
      </c>
      <c r="B20" s="2" t="s">
        <v>31</v>
      </c>
      <c r="C20" s="3">
        <v>44945</v>
      </c>
      <c r="D20" s="4" t="s">
        <v>5</v>
      </c>
      <c r="E20" s="4" t="s">
        <v>20</v>
      </c>
      <c r="F20" s="4" t="s">
        <v>21</v>
      </c>
      <c r="G20" s="4">
        <v>3</v>
      </c>
      <c r="H20" s="4">
        <v>41191</v>
      </c>
      <c r="I20" s="4">
        <f t="shared" si="0"/>
        <v>123573</v>
      </c>
    </row>
    <row r="21" spans="1:9" x14ac:dyDescent="0.3">
      <c r="A21" s="1">
        <v>20</v>
      </c>
      <c r="B21" s="2" t="s">
        <v>32</v>
      </c>
      <c r="C21" s="3">
        <v>44946</v>
      </c>
      <c r="D21" s="4" t="s">
        <v>1</v>
      </c>
      <c r="E21" s="4" t="s">
        <v>9</v>
      </c>
      <c r="F21" s="4" t="s">
        <v>1026</v>
      </c>
      <c r="G21" s="4">
        <v>13</v>
      </c>
      <c r="H21" s="4">
        <v>15211</v>
      </c>
      <c r="I21" s="4">
        <f t="shared" si="0"/>
        <v>197743</v>
      </c>
    </row>
    <row r="22" spans="1:9" x14ac:dyDescent="0.3">
      <c r="A22" s="1">
        <v>21</v>
      </c>
      <c r="B22" s="2" t="s">
        <v>33</v>
      </c>
      <c r="C22" s="3">
        <v>44947</v>
      </c>
      <c r="D22" s="4" t="s">
        <v>19</v>
      </c>
      <c r="E22" s="4" t="s">
        <v>1041</v>
      </c>
      <c r="F22" s="4" t="s">
        <v>21</v>
      </c>
      <c r="G22" s="4">
        <v>11</v>
      </c>
      <c r="H22" s="4">
        <v>68069</v>
      </c>
      <c r="I22" s="4">
        <f t="shared" si="0"/>
        <v>748759</v>
      </c>
    </row>
    <row r="23" spans="1:9" x14ac:dyDescent="0.3">
      <c r="A23" s="1">
        <v>22</v>
      </c>
      <c r="B23" s="2" t="s">
        <v>34</v>
      </c>
      <c r="C23" s="3">
        <v>44948</v>
      </c>
      <c r="D23" s="4" t="s">
        <v>7</v>
      </c>
      <c r="E23" s="4" t="s">
        <v>2</v>
      </c>
      <c r="F23" s="4" t="s">
        <v>1024</v>
      </c>
      <c r="G23" s="4">
        <v>17</v>
      </c>
      <c r="H23" s="4">
        <v>61746</v>
      </c>
      <c r="I23" s="4">
        <f t="shared" si="0"/>
        <v>1049682</v>
      </c>
    </row>
    <row r="24" spans="1:9" x14ac:dyDescent="0.3">
      <c r="A24" s="1">
        <v>23</v>
      </c>
      <c r="B24" s="2" t="s">
        <v>35</v>
      </c>
      <c r="C24" s="3">
        <v>44949</v>
      </c>
      <c r="D24" s="4" t="s">
        <v>19</v>
      </c>
      <c r="E24" s="4" t="s">
        <v>1040</v>
      </c>
      <c r="F24" s="4" t="s">
        <v>1024</v>
      </c>
      <c r="G24" s="4">
        <v>13</v>
      </c>
      <c r="H24" s="4">
        <v>26542</v>
      </c>
      <c r="I24" s="4">
        <f t="shared" si="0"/>
        <v>345046</v>
      </c>
    </row>
    <row r="25" spans="1:9" x14ac:dyDescent="0.3">
      <c r="A25" s="1">
        <v>24</v>
      </c>
      <c r="B25" s="2" t="s">
        <v>36</v>
      </c>
      <c r="C25" s="3">
        <v>44950</v>
      </c>
      <c r="D25" s="4" t="s">
        <v>5</v>
      </c>
      <c r="E25" s="4" t="s">
        <v>24</v>
      </c>
      <c r="F25" s="4" t="s">
        <v>1026</v>
      </c>
      <c r="G25" s="4">
        <v>6</v>
      </c>
      <c r="H25" s="4">
        <v>36312</v>
      </c>
      <c r="I25" s="4">
        <f t="shared" si="0"/>
        <v>217872</v>
      </c>
    </row>
    <row r="26" spans="1:9" x14ac:dyDescent="0.3">
      <c r="A26" s="1">
        <v>25</v>
      </c>
      <c r="B26" s="2" t="s">
        <v>37</v>
      </c>
      <c r="C26" s="3">
        <v>44951</v>
      </c>
      <c r="D26" s="4" t="s">
        <v>5</v>
      </c>
      <c r="E26" s="4" t="s">
        <v>2</v>
      </c>
      <c r="F26" s="4" t="s">
        <v>1026</v>
      </c>
      <c r="G26" s="4">
        <v>17</v>
      </c>
      <c r="H26" s="4">
        <v>50242</v>
      </c>
      <c r="I26" s="4">
        <f t="shared" si="0"/>
        <v>854114</v>
      </c>
    </row>
    <row r="27" spans="1:9" x14ac:dyDescent="0.3">
      <c r="A27" s="1">
        <v>26</v>
      </c>
      <c r="B27" s="2" t="s">
        <v>38</v>
      </c>
      <c r="C27" s="3">
        <v>44952</v>
      </c>
      <c r="D27" s="4" t="s">
        <v>19</v>
      </c>
      <c r="E27" s="4" t="s">
        <v>20</v>
      </c>
      <c r="F27" s="4" t="s">
        <v>21</v>
      </c>
      <c r="G27" s="4">
        <v>13</v>
      </c>
      <c r="H27" s="4">
        <v>60388</v>
      </c>
      <c r="I27" s="4">
        <f t="shared" si="0"/>
        <v>785044</v>
      </c>
    </row>
    <row r="28" spans="1:9" x14ac:dyDescent="0.3">
      <c r="A28" s="1">
        <v>27</v>
      </c>
      <c r="B28" s="2" t="s">
        <v>39</v>
      </c>
      <c r="C28" s="3">
        <v>44953</v>
      </c>
      <c r="D28" s="4" t="s">
        <v>19</v>
      </c>
      <c r="E28" s="4" t="s">
        <v>1041</v>
      </c>
      <c r="F28" s="4" t="s">
        <v>3</v>
      </c>
      <c r="G28" s="4">
        <v>19</v>
      </c>
      <c r="H28" s="4">
        <v>32691</v>
      </c>
      <c r="I28" s="4">
        <f t="shared" si="0"/>
        <v>621129</v>
      </c>
    </row>
    <row r="29" spans="1:9" x14ac:dyDescent="0.3">
      <c r="A29" s="1">
        <v>28</v>
      </c>
      <c r="B29" s="2" t="s">
        <v>40</v>
      </c>
      <c r="C29" s="3">
        <v>44954</v>
      </c>
      <c r="D29" s="4" t="s">
        <v>19</v>
      </c>
      <c r="E29" s="4" t="s">
        <v>24</v>
      </c>
      <c r="F29" s="4" t="s">
        <v>21</v>
      </c>
      <c r="G29" s="4">
        <v>19</v>
      </c>
      <c r="H29" s="4">
        <v>27601</v>
      </c>
      <c r="I29" s="4">
        <f t="shared" si="0"/>
        <v>524419</v>
      </c>
    </row>
    <row r="30" spans="1:9" x14ac:dyDescent="0.3">
      <c r="A30" s="1">
        <v>29</v>
      </c>
      <c r="B30" s="2" t="s">
        <v>41</v>
      </c>
      <c r="C30" s="3">
        <v>44955</v>
      </c>
      <c r="D30" s="4" t="s">
        <v>5</v>
      </c>
      <c r="E30" s="4" t="s">
        <v>2</v>
      </c>
      <c r="F30" s="4" t="s">
        <v>3</v>
      </c>
      <c r="G30" s="4">
        <v>10</v>
      </c>
      <c r="H30" s="4">
        <v>23020</v>
      </c>
      <c r="I30" s="4">
        <f t="shared" si="0"/>
        <v>230200</v>
      </c>
    </row>
    <row r="31" spans="1:9" x14ac:dyDescent="0.3">
      <c r="A31" s="1">
        <v>30</v>
      </c>
      <c r="B31" s="2" t="s">
        <v>42</v>
      </c>
      <c r="C31" s="3">
        <v>44956</v>
      </c>
      <c r="D31" s="4" t="s">
        <v>5</v>
      </c>
      <c r="E31" s="4" t="s">
        <v>20</v>
      </c>
      <c r="F31" s="4" t="s">
        <v>1024</v>
      </c>
      <c r="G31" s="4">
        <v>3</v>
      </c>
      <c r="H31" s="4">
        <v>13155</v>
      </c>
      <c r="I31" s="4">
        <f t="shared" si="0"/>
        <v>39465</v>
      </c>
    </row>
    <row r="32" spans="1:9" x14ac:dyDescent="0.3">
      <c r="A32" s="1">
        <v>31</v>
      </c>
      <c r="B32" s="2" t="s">
        <v>43</v>
      </c>
      <c r="C32" s="3">
        <v>44957</v>
      </c>
      <c r="D32" s="4" t="s">
        <v>7</v>
      </c>
      <c r="E32" s="4" t="s">
        <v>20</v>
      </c>
      <c r="F32" s="4" t="s">
        <v>1022</v>
      </c>
      <c r="G32" s="4">
        <v>14</v>
      </c>
      <c r="H32" s="4">
        <v>74119</v>
      </c>
      <c r="I32" s="4">
        <f t="shared" si="0"/>
        <v>1037666</v>
      </c>
    </row>
    <row r="33" spans="1:9" x14ac:dyDescent="0.3">
      <c r="A33" s="1">
        <v>32</v>
      </c>
      <c r="B33" s="2" t="s">
        <v>44</v>
      </c>
      <c r="C33" s="3">
        <v>44958</v>
      </c>
      <c r="D33" s="4" t="s">
        <v>7</v>
      </c>
      <c r="E33" s="4" t="s">
        <v>1040</v>
      </c>
      <c r="F33" s="4" t="s">
        <v>1026</v>
      </c>
      <c r="G33" s="4">
        <v>19</v>
      </c>
      <c r="H33" s="4">
        <v>41777</v>
      </c>
      <c r="I33" s="4">
        <f t="shared" si="0"/>
        <v>793763</v>
      </c>
    </row>
    <row r="34" spans="1:9" x14ac:dyDescent="0.3">
      <c r="A34" s="1">
        <v>33</v>
      </c>
      <c r="B34" s="2" t="s">
        <v>45</v>
      </c>
      <c r="C34" s="3">
        <v>44959</v>
      </c>
      <c r="D34" s="4" t="s">
        <v>5</v>
      </c>
      <c r="E34" s="4" t="s">
        <v>1041</v>
      </c>
      <c r="F34" s="4" t="s">
        <v>3</v>
      </c>
      <c r="G34" s="4">
        <v>5</v>
      </c>
      <c r="H34" s="4">
        <v>24710</v>
      </c>
      <c r="I34" s="4">
        <f t="shared" si="0"/>
        <v>123550</v>
      </c>
    </row>
    <row r="35" spans="1:9" x14ac:dyDescent="0.3">
      <c r="A35" s="1">
        <v>34</v>
      </c>
      <c r="B35" s="2" t="s">
        <v>46</v>
      </c>
      <c r="C35" s="3">
        <v>44960</v>
      </c>
      <c r="D35" s="4" t="s">
        <v>19</v>
      </c>
      <c r="E35" s="4" t="s">
        <v>1040</v>
      </c>
      <c r="F35" s="4" t="s">
        <v>21</v>
      </c>
      <c r="G35" s="4">
        <v>5</v>
      </c>
      <c r="H35" s="4">
        <v>29532</v>
      </c>
      <c r="I35" s="4">
        <f t="shared" si="0"/>
        <v>147660</v>
      </c>
    </row>
    <row r="36" spans="1:9" x14ac:dyDescent="0.3">
      <c r="A36" s="1">
        <v>35</v>
      </c>
      <c r="B36" s="2" t="s">
        <v>47</v>
      </c>
      <c r="C36" s="3">
        <v>44961</v>
      </c>
      <c r="D36" s="4" t="s">
        <v>19</v>
      </c>
      <c r="E36" s="4" t="s">
        <v>24</v>
      </c>
      <c r="F36" s="4" t="s">
        <v>1024</v>
      </c>
      <c r="G36" s="4">
        <v>17</v>
      </c>
      <c r="H36" s="4">
        <v>23601</v>
      </c>
      <c r="I36" s="4">
        <f t="shared" si="0"/>
        <v>401217</v>
      </c>
    </row>
    <row r="37" spans="1:9" x14ac:dyDescent="0.3">
      <c r="A37" s="1">
        <v>36</v>
      </c>
      <c r="B37" s="2" t="s">
        <v>48</v>
      </c>
      <c r="C37" s="3">
        <v>44962</v>
      </c>
      <c r="D37" s="4" t="s">
        <v>7</v>
      </c>
      <c r="E37" s="4" t="s">
        <v>1040</v>
      </c>
      <c r="F37" s="4" t="s">
        <v>3</v>
      </c>
      <c r="G37" s="4">
        <v>10</v>
      </c>
      <c r="H37" s="4">
        <v>68227</v>
      </c>
      <c r="I37" s="4">
        <f t="shared" si="0"/>
        <v>682270</v>
      </c>
    </row>
    <row r="38" spans="1:9" x14ac:dyDescent="0.3">
      <c r="A38" s="1">
        <v>37</v>
      </c>
      <c r="B38" s="2" t="s">
        <v>49</v>
      </c>
      <c r="C38" s="3">
        <v>44963</v>
      </c>
      <c r="D38" s="4" t="s">
        <v>5</v>
      </c>
      <c r="E38" s="4" t="s">
        <v>20</v>
      </c>
      <c r="F38" s="4" t="s">
        <v>21</v>
      </c>
      <c r="G38" s="4">
        <v>5</v>
      </c>
      <c r="H38" s="4">
        <v>9967</v>
      </c>
      <c r="I38" s="4">
        <f t="shared" si="0"/>
        <v>49835</v>
      </c>
    </row>
    <row r="39" spans="1:9" x14ac:dyDescent="0.3">
      <c r="A39" s="1">
        <v>38</v>
      </c>
      <c r="B39" s="2" t="s">
        <v>50</v>
      </c>
      <c r="C39" s="3">
        <v>44964</v>
      </c>
      <c r="D39" s="4" t="s">
        <v>7</v>
      </c>
      <c r="E39" s="4" t="s">
        <v>1040</v>
      </c>
      <c r="F39" s="4" t="s">
        <v>1026</v>
      </c>
      <c r="G39" s="4">
        <v>4</v>
      </c>
      <c r="H39" s="4">
        <v>25022</v>
      </c>
      <c r="I39" s="4">
        <f t="shared" si="0"/>
        <v>100088</v>
      </c>
    </row>
    <row r="40" spans="1:9" x14ac:dyDescent="0.3">
      <c r="A40" s="1">
        <v>39</v>
      </c>
      <c r="B40" s="2" t="s">
        <v>51</v>
      </c>
      <c r="C40" s="3">
        <v>44965</v>
      </c>
      <c r="D40" s="4" t="s">
        <v>7</v>
      </c>
      <c r="E40" s="4" t="s">
        <v>1041</v>
      </c>
      <c r="F40" s="4" t="s">
        <v>1026</v>
      </c>
      <c r="G40" s="4">
        <v>6</v>
      </c>
      <c r="H40" s="4">
        <v>48463</v>
      </c>
      <c r="I40" s="4">
        <f t="shared" si="0"/>
        <v>290778</v>
      </c>
    </row>
    <row r="41" spans="1:9" x14ac:dyDescent="0.3">
      <c r="A41" s="1">
        <v>40</v>
      </c>
      <c r="B41" s="2" t="s">
        <v>52</v>
      </c>
      <c r="C41" s="3">
        <v>44966</v>
      </c>
      <c r="D41" s="4" t="s">
        <v>1</v>
      </c>
      <c r="E41" s="4" t="s">
        <v>11</v>
      </c>
      <c r="F41" s="4" t="s">
        <v>15</v>
      </c>
      <c r="G41" s="4">
        <v>4</v>
      </c>
      <c r="H41" s="4">
        <v>10722</v>
      </c>
      <c r="I41" s="4">
        <f t="shared" si="0"/>
        <v>42888</v>
      </c>
    </row>
    <row r="42" spans="1:9" x14ac:dyDescent="0.3">
      <c r="A42" s="1">
        <v>41</v>
      </c>
      <c r="B42" s="2" t="s">
        <v>53</v>
      </c>
      <c r="C42" s="3">
        <v>44967</v>
      </c>
      <c r="D42" s="4" t="s">
        <v>1</v>
      </c>
      <c r="E42" s="4" t="s">
        <v>1040</v>
      </c>
      <c r="F42" s="4" t="s">
        <v>1022</v>
      </c>
      <c r="G42" s="4">
        <v>7</v>
      </c>
      <c r="H42" s="4">
        <v>32413</v>
      </c>
      <c r="I42" s="4">
        <f t="shared" si="0"/>
        <v>226891</v>
      </c>
    </row>
    <row r="43" spans="1:9" x14ac:dyDescent="0.3">
      <c r="A43" s="1">
        <v>42</v>
      </c>
      <c r="B43" s="2" t="s">
        <v>54</v>
      </c>
      <c r="C43" s="3">
        <v>44968</v>
      </c>
      <c r="D43" s="4" t="s">
        <v>1</v>
      </c>
      <c r="E43" s="4" t="s">
        <v>1041</v>
      </c>
      <c r="F43" s="4" t="s">
        <v>15</v>
      </c>
      <c r="G43" s="4">
        <v>7</v>
      </c>
      <c r="H43" s="4">
        <v>71732</v>
      </c>
      <c r="I43" s="4">
        <f t="shared" si="0"/>
        <v>502124</v>
      </c>
    </row>
    <row r="44" spans="1:9" x14ac:dyDescent="0.3">
      <c r="A44" s="1">
        <v>43</v>
      </c>
      <c r="B44" s="2" t="s">
        <v>55</v>
      </c>
      <c r="C44" s="3">
        <v>44969</v>
      </c>
      <c r="D44" s="4" t="s">
        <v>19</v>
      </c>
      <c r="E44" s="4" t="s">
        <v>1041</v>
      </c>
      <c r="F44" s="4" t="s">
        <v>1024</v>
      </c>
      <c r="G44" s="4">
        <v>18</v>
      </c>
      <c r="H44" s="4">
        <v>17297</v>
      </c>
      <c r="I44" s="4">
        <f t="shared" si="0"/>
        <v>311346</v>
      </c>
    </row>
    <row r="45" spans="1:9" x14ac:dyDescent="0.3">
      <c r="A45" s="1">
        <v>44</v>
      </c>
      <c r="B45" s="2" t="s">
        <v>56</v>
      </c>
      <c r="C45" s="3">
        <v>44970</v>
      </c>
      <c r="D45" s="4" t="s">
        <v>5</v>
      </c>
      <c r="E45" s="4" t="s">
        <v>20</v>
      </c>
      <c r="F45" s="4" t="s">
        <v>3</v>
      </c>
      <c r="G45" s="4">
        <v>3</v>
      </c>
      <c r="H45" s="4">
        <v>73323</v>
      </c>
      <c r="I45" s="4">
        <f t="shared" si="0"/>
        <v>219969</v>
      </c>
    </row>
    <row r="46" spans="1:9" x14ac:dyDescent="0.3">
      <c r="A46" s="1">
        <v>45</v>
      </c>
      <c r="B46" s="2" t="s">
        <v>57</v>
      </c>
      <c r="C46" s="3">
        <v>44971</v>
      </c>
      <c r="D46" s="4" t="s">
        <v>5</v>
      </c>
      <c r="E46" s="4" t="s">
        <v>1041</v>
      </c>
      <c r="F46" s="4" t="s">
        <v>1024</v>
      </c>
      <c r="G46" s="4">
        <v>1</v>
      </c>
      <c r="H46" s="4">
        <v>28816</v>
      </c>
      <c r="I46" s="4">
        <f t="shared" si="0"/>
        <v>28816</v>
      </c>
    </row>
    <row r="47" spans="1:9" x14ac:dyDescent="0.3">
      <c r="A47" s="1">
        <v>46</v>
      </c>
      <c r="B47" s="2" t="s">
        <v>58</v>
      </c>
      <c r="C47" s="3">
        <v>44972</v>
      </c>
      <c r="D47" s="4" t="s">
        <v>5</v>
      </c>
      <c r="E47" s="4" t="s">
        <v>1041</v>
      </c>
      <c r="F47" s="4" t="s">
        <v>21</v>
      </c>
      <c r="G47" s="4">
        <v>4</v>
      </c>
      <c r="H47" s="4">
        <v>45695</v>
      </c>
      <c r="I47" s="4">
        <f t="shared" si="0"/>
        <v>182780</v>
      </c>
    </row>
    <row r="48" spans="1:9" x14ac:dyDescent="0.3">
      <c r="A48" s="1">
        <v>47</v>
      </c>
      <c r="B48" s="2" t="s">
        <v>59</v>
      </c>
      <c r="C48" s="3">
        <v>44973</v>
      </c>
      <c r="D48" s="4" t="s">
        <v>5</v>
      </c>
      <c r="E48" s="4" t="s">
        <v>1041</v>
      </c>
      <c r="F48" s="4" t="s">
        <v>1026</v>
      </c>
      <c r="G48" s="4">
        <v>6</v>
      </c>
      <c r="H48" s="4">
        <v>24702</v>
      </c>
      <c r="I48" s="4">
        <f t="shared" si="0"/>
        <v>148212</v>
      </c>
    </row>
    <row r="49" spans="1:9" x14ac:dyDescent="0.3">
      <c r="A49" s="1">
        <v>48</v>
      </c>
      <c r="B49" s="2" t="s">
        <v>60</v>
      </c>
      <c r="C49" s="3">
        <v>44974</v>
      </c>
      <c r="D49" s="4" t="s">
        <v>1</v>
      </c>
      <c r="E49" s="4" t="s">
        <v>1041</v>
      </c>
      <c r="F49" s="4" t="s">
        <v>15</v>
      </c>
      <c r="G49" s="4">
        <v>9</v>
      </c>
      <c r="H49" s="4">
        <v>30242</v>
      </c>
      <c r="I49" s="4">
        <f t="shared" si="0"/>
        <v>272178</v>
      </c>
    </row>
    <row r="50" spans="1:9" x14ac:dyDescent="0.3">
      <c r="A50" s="1">
        <v>49</v>
      </c>
      <c r="B50" s="2" t="s">
        <v>61</v>
      </c>
      <c r="C50" s="3">
        <v>44975</v>
      </c>
      <c r="D50" s="4" t="s">
        <v>19</v>
      </c>
      <c r="E50" s="4" t="s">
        <v>24</v>
      </c>
      <c r="F50" s="4" t="s">
        <v>15</v>
      </c>
      <c r="G50" s="4">
        <v>14</v>
      </c>
      <c r="H50" s="4">
        <v>60841</v>
      </c>
      <c r="I50" s="4">
        <f t="shared" si="0"/>
        <v>851774</v>
      </c>
    </row>
    <row r="51" spans="1:9" x14ac:dyDescent="0.3">
      <c r="A51" s="1">
        <v>50</v>
      </c>
      <c r="B51" s="2" t="s">
        <v>62</v>
      </c>
      <c r="C51" s="3">
        <v>44976</v>
      </c>
      <c r="D51" s="4" t="s">
        <v>19</v>
      </c>
      <c r="E51" s="4" t="s">
        <v>24</v>
      </c>
      <c r="F51" s="4" t="s">
        <v>15</v>
      </c>
      <c r="G51" s="4">
        <v>12</v>
      </c>
      <c r="H51" s="4">
        <v>72712</v>
      </c>
      <c r="I51" s="4">
        <f t="shared" si="0"/>
        <v>872544</v>
      </c>
    </row>
    <row r="52" spans="1:9" x14ac:dyDescent="0.3">
      <c r="A52" s="1">
        <v>51</v>
      </c>
      <c r="B52" s="2" t="s">
        <v>63</v>
      </c>
      <c r="C52" s="3">
        <v>44977</v>
      </c>
      <c r="D52" s="4" t="s">
        <v>1</v>
      </c>
      <c r="E52" s="4" t="s">
        <v>20</v>
      </c>
      <c r="F52" s="4" t="s">
        <v>1024</v>
      </c>
      <c r="G52" s="4">
        <v>4</v>
      </c>
      <c r="H52" s="4">
        <v>58574</v>
      </c>
      <c r="I52" s="4">
        <f t="shared" si="0"/>
        <v>234296</v>
      </c>
    </row>
    <row r="53" spans="1:9" x14ac:dyDescent="0.3">
      <c r="A53" s="1">
        <v>52</v>
      </c>
      <c r="B53" s="2" t="s">
        <v>64</v>
      </c>
      <c r="C53" s="3">
        <v>44978</v>
      </c>
      <c r="D53" s="4" t="s">
        <v>19</v>
      </c>
      <c r="E53" s="4" t="s">
        <v>1040</v>
      </c>
      <c r="F53" s="4" t="s">
        <v>1026</v>
      </c>
      <c r="G53" s="4">
        <v>12</v>
      </c>
      <c r="H53" s="4">
        <v>33482</v>
      </c>
      <c r="I53" s="4">
        <f t="shared" si="0"/>
        <v>401784</v>
      </c>
    </row>
    <row r="54" spans="1:9" x14ac:dyDescent="0.3">
      <c r="A54" s="1">
        <v>53</v>
      </c>
      <c r="B54" s="2" t="s">
        <v>65</v>
      </c>
      <c r="C54" s="3">
        <v>44979</v>
      </c>
      <c r="D54" s="4" t="s">
        <v>1</v>
      </c>
      <c r="E54" s="4" t="s">
        <v>1041</v>
      </c>
      <c r="F54" s="4" t="s">
        <v>3</v>
      </c>
      <c r="G54" s="4">
        <v>10</v>
      </c>
      <c r="H54" s="4">
        <v>14171</v>
      </c>
      <c r="I54" s="4">
        <f t="shared" si="0"/>
        <v>141710</v>
      </c>
    </row>
    <row r="55" spans="1:9" x14ac:dyDescent="0.3">
      <c r="A55" s="1">
        <v>54</v>
      </c>
      <c r="B55" s="2" t="s">
        <v>66</v>
      </c>
      <c r="C55" s="3">
        <v>44980</v>
      </c>
      <c r="D55" s="4" t="s">
        <v>5</v>
      </c>
      <c r="E55" s="4" t="s">
        <v>2</v>
      </c>
      <c r="F55" s="4" t="s">
        <v>21</v>
      </c>
      <c r="G55" s="4">
        <v>7</v>
      </c>
      <c r="H55" s="4">
        <v>8696</v>
      </c>
      <c r="I55" s="4">
        <f t="shared" si="0"/>
        <v>60872</v>
      </c>
    </row>
    <row r="56" spans="1:9" x14ac:dyDescent="0.3">
      <c r="A56" s="1">
        <v>55</v>
      </c>
      <c r="B56" s="2" t="s">
        <v>67</v>
      </c>
      <c r="C56" s="3">
        <v>44981</v>
      </c>
      <c r="D56" s="4" t="s">
        <v>1</v>
      </c>
      <c r="E56" s="4" t="s">
        <v>2</v>
      </c>
      <c r="F56" s="4" t="s">
        <v>3</v>
      </c>
      <c r="G56" s="4">
        <v>3</v>
      </c>
      <c r="H56" s="4">
        <v>25058</v>
      </c>
      <c r="I56" s="4">
        <f t="shared" si="0"/>
        <v>75174</v>
      </c>
    </row>
    <row r="57" spans="1:9" x14ac:dyDescent="0.3">
      <c r="A57" s="1">
        <v>56</v>
      </c>
      <c r="B57" s="2" t="s">
        <v>68</v>
      </c>
      <c r="C57" s="3">
        <v>44982</v>
      </c>
      <c r="D57" s="4" t="s">
        <v>5</v>
      </c>
      <c r="E57" s="4" t="s">
        <v>20</v>
      </c>
      <c r="F57" s="4" t="s">
        <v>1024</v>
      </c>
      <c r="G57" s="4">
        <v>14</v>
      </c>
      <c r="H57" s="4">
        <v>25313</v>
      </c>
      <c r="I57" s="4">
        <f t="shared" si="0"/>
        <v>354382</v>
      </c>
    </row>
    <row r="58" spans="1:9" x14ac:dyDescent="0.3">
      <c r="A58" s="1">
        <v>57</v>
      </c>
      <c r="B58" s="2" t="s">
        <v>69</v>
      </c>
      <c r="C58" s="3">
        <v>44983</v>
      </c>
      <c r="D58" s="4" t="s">
        <v>5</v>
      </c>
      <c r="E58" s="4" t="s">
        <v>1041</v>
      </c>
      <c r="F58" s="4" t="s">
        <v>21</v>
      </c>
      <c r="G58" s="4">
        <v>10</v>
      </c>
      <c r="H58" s="4">
        <v>24149</v>
      </c>
      <c r="I58" s="4">
        <f t="shared" si="0"/>
        <v>241490</v>
      </c>
    </row>
    <row r="59" spans="1:9" x14ac:dyDescent="0.3">
      <c r="A59" s="1">
        <v>58</v>
      </c>
      <c r="B59" s="2" t="s">
        <v>70</v>
      </c>
      <c r="C59" s="3">
        <v>44984</v>
      </c>
      <c r="D59" s="4" t="s">
        <v>7</v>
      </c>
      <c r="E59" s="4" t="s">
        <v>1041</v>
      </c>
      <c r="F59" s="4" t="s">
        <v>15</v>
      </c>
      <c r="G59" s="4">
        <v>16</v>
      </c>
      <c r="H59" s="4">
        <v>58521</v>
      </c>
      <c r="I59" s="4">
        <f t="shared" si="0"/>
        <v>936336</v>
      </c>
    </row>
    <row r="60" spans="1:9" x14ac:dyDescent="0.3">
      <c r="A60" s="1">
        <v>59</v>
      </c>
      <c r="B60" s="2" t="s">
        <v>71</v>
      </c>
      <c r="C60" s="3">
        <v>44985</v>
      </c>
      <c r="D60" s="4" t="s">
        <v>1</v>
      </c>
      <c r="E60" s="4" t="s">
        <v>11</v>
      </c>
      <c r="F60" s="4" t="s">
        <v>1022</v>
      </c>
      <c r="G60" s="4">
        <v>16</v>
      </c>
      <c r="H60" s="4">
        <v>50740</v>
      </c>
      <c r="I60" s="4">
        <f t="shared" si="0"/>
        <v>811840</v>
      </c>
    </row>
    <row r="61" spans="1:9" x14ac:dyDescent="0.3">
      <c r="A61" s="1">
        <v>60</v>
      </c>
      <c r="B61" s="2" t="s">
        <v>72</v>
      </c>
      <c r="C61" s="3">
        <v>44986</v>
      </c>
      <c r="D61" s="4" t="s">
        <v>7</v>
      </c>
      <c r="E61" s="4" t="s">
        <v>2</v>
      </c>
      <c r="F61" s="4" t="s">
        <v>1024</v>
      </c>
      <c r="G61" s="4">
        <v>10</v>
      </c>
      <c r="H61" s="4">
        <v>9956</v>
      </c>
      <c r="I61" s="4">
        <f t="shared" si="0"/>
        <v>99560</v>
      </c>
    </row>
    <row r="62" spans="1:9" x14ac:dyDescent="0.3">
      <c r="A62" s="1">
        <v>61</v>
      </c>
      <c r="B62" s="2" t="s">
        <v>73</v>
      </c>
      <c r="C62" s="3">
        <v>44987</v>
      </c>
      <c r="D62" s="4" t="s">
        <v>1</v>
      </c>
      <c r="E62" s="4" t="s">
        <v>2</v>
      </c>
      <c r="F62" s="4" t="s">
        <v>1024</v>
      </c>
      <c r="G62" s="4">
        <v>13</v>
      </c>
      <c r="H62" s="4">
        <v>71641</v>
      </c>
      <c r="I62" s="4">
        <f t="shared" si="0"/>
        <v>931333</v>
      </c>
    </row>
    <row r="63" spans="1:9" x14ac:dyDescent="0.3">
      <c r="A63" s="1">
        <v>62</v>
      </c>
      <c r="B63" s="2" t="s">
        <v>74</v>
      </c>
      <c r="C63" s="3">
        <v>44988</v>
      </c>
      <c r="D63" s="4" t="s">
        <v>1</v>
      </c>
      <c r="E63" s="4" t="s">
        <v>24</v>
      </c>
      <c r="F63" s="4" t="s">
        <v>1026</v>
      </c>
      <c r="G63" s="4">
        <v>6</v>
      </c>
      <c r="H63" s="4">
        <v>68811</v>
      </c>
      <c r="I63" s="4">
        <f t="shared" si="0"/>
        <v>412866</v>
      </c>
    </row>
    <row r="64" spans="1:9" x14ac:dyDescent="0.3">
      <c r="A64" s="1">
        <v>63</v>
      </c>
      <c r="B64" s="2" t="s">
        <v>75</v>
      </c>
      <c r="C64" s="3">
        <v>44989</v>
      </c>
      <c r="D64" s="4" t="s">
        <v>7</v>
      </c>
      <c r="E64" s="4" t="s">
        <v>11</v>
      </c>
      <c r="F64" s="4" t="s">
        <v>3</v>
      </c>
      <c r="G64" s="4">
        <v>12</v>
      </c>
      <c r="H64" s="4">
        <v>57160</v>
      </c>
      <c r="I64" s="4">
        <f t="shared" si="0"/>
        <v>685920</v>
      </c>
    </row>
    <row r="65" spans="1:9" x14ac:dyDescent="0.3">
      <c r="A65" s="1">
        <v>64</v>
      </c>
      <c r="B65" s="2" t="s">
        <v>76</v>
      </c>
      <c r="C65" s="3">
        <v>44990</v>
      </c>
      <c r="D65" s="4" t="s">
        <v>7</v>
      </c>
      <c r="E65" s="4" t="s">
        <v>24</v>
      </c>
      <c r="F65" s="4" t="s">
        <v>1024</v>
      </c>
      <c r="G65" s="4">
        <v>9</v>
      </c>
      <c r="H65" s="4">
        <v>56313</v>
      </c>
      <c r="I65" s="4">
        <f t="shared" si="0"/>
        <v>506817</v>
      </c>
    </row>
    <row r="66" spans="1:9" x14ac:dyDescent="0.3">
      <c r="A66" s="1">
        <v>65</v>
      </c>
      <c r="B66" s="2" t="s">
        <v>77</v>
      </c>
      <c r="C66" s="3">
        <v>44991</v>
      </c>
      <c r="D66" s="4" t="s">
        <v>1</v>
      </c>
      <c r="E66" s="4" t="s">
        <v>24</v>
      </c>
      <c r="F66" s="4" t="s">
        <v>1024</v>
      </c>
      <c r="G66" s="4">
        <v>13</v>
      </c>
      <c r="H66" s="4">
        <v>68232</v>
      </c>
      <c r="I66" s="4">
        <f t="shared" si="0"/>
        <v>887016</v>
      </c>
    </row>
    <row r="67" spans="1:9" x14ac:dyDescent="0.3">
      <c r="A67" s="1">
        <v>66</v>
      </c>
      <c r="B67" s="2" t="s">
        <v>78</v>
      </c>
      <c r="C67" s="3">
        <v>44992</v>
      </c>
      <c r="D67" s="4" t="s">
        <v>19</v>
      </c>
      <c r="E67" s="4" t="s">
        <v>24</v>
      </c>
      <c r="F67" s="4" t="s">
        <v>15</v>
      </c>
      <c r="G67" s="4">
        <v>4</v>
      </c>
      <c r="H67" s="4">
        <v>20417</v>
      </c>
      <c r="I67" s="4">
        <f t="shared" ref="I67:I130" si="1">G67*H67</f>
        <v>81668</v>
      </c>
    </row>
    <row r="68" spans="1:9" x14ac:dyDescent="0.3">
      <c r="A68" s="1">
        <v>67</v>
      </c>
      <c r="B68" s="2" t="s">
        <v>79</v>
      </c>
      <c r="C68" s="3">
        <v>44993</v>
      </c>
      <c r="D68" s="4" t="s">
        <v>5</v>
      </c>
      <c r="E68" s="4" t="s">
        <v>20</v>
      </c>
      <c r="F68" s="4" t="s">
        <v>15</v>
      </c>
      <c r="G68" s="4">
        <v>11</v>
      </c>
      <c r="H68" s="4">
        <v>29729</v>
      </c>
      <c r="I68" s="4">
        <f t="shared" si="1"/>
        <v>327019</v>
      </c>
    </row>
    <row r="69" spans="1:9" x14ac:dyDescent="0.3">
      <c r="A69" s="1">
        <v>68</v>
      </c>
      <c r="B69" s="2" t="s">
        <v>80</v>
      </c>
      <c r="C69" s="3">
        <v>44994</v>
      </c>
      <c r="D69" s="4" t="s">
        <v>7</v>
      </c>
      <c r="E69" s="4" t="s">
        <v>20</v>
      </c>
      <c r="F69" s="4" t="s">
        <v>21</v>
      </c>
      <c r="G69" s="4">
        <v>18</v>
      </c>
      <c r="H69" s="4">
        <v>35099</v>
      </c>
      <c r="I69" s="4">
        <f t="shared" si="1"/>
        <v>631782</v>
      </c>
    </row>
    <row r="70" spans="1:9" x14ac:dyDescent="0.3">
      <c r="A70" s="1">
        <v>69</v>
      </c>
      <c r="B70" s="2" t="s">
        <v>81</v>
      </c>
      <c r="C70" s="3">
        <v>44995</v>
      </c>
      <c r="D70" s="4" t="s">
        <v>5</v>
      </c>
      <c r="E70" s="4" t="s">
        <v>1041</v>
      </c>
      <c r="F70" s="4" t="s">
        <v>1022</v>
      </c>
      <c r="G70" s="4">
        <v>11</v>
      </c>
      <c r="H70" s="4">
        <v>34961</v>
      </c>
      <c r="I70" s="4">
        <f t="shared" si="1"/>
        <v>384571</v>
      </c>
    </row>
    <row r="71" spans="1:9" x14ac:dyDescent="0.3">
      <c r="A71" s="1">
        <v>70</v>
      </c>
      <c r="B71" s="2" t="s">
        <v>82</v>
      </c>
      <c r="C71" s="3">
        <v>44996</v>
      </c>
      <c r="D71" s="4" t="s">
        <v>19</v>
      </c>
      <c r="E71" s="4" t="s">
        <v>11</v>
      </c>
      <c r="F71" s="4" t="s">
        <v>1026</v>
      </c>
      <c r="G71" s="4">
        <v>4</v>
      </c>
      <c r="H71" s="4">
        <v>17602</v>
      </c>
      <c r="I71" s="4">
        <f t="shared" si="1"/>
        <v>70408</v>
      </c>
    </row>
    <row r="72" spans="1:9" x14ac:dyDescent="0.3">
      <c r="A72" s="1">
        <v>71</v>
      </c>
      <c r="B72" s="2" t="s">
        <v>83</v>
      </c>
      <c r="C72" s="3">
        <v>44997</v>
      </c>
      <c r="D72" s="4" t="s">
        <v>19</v>
      </c>
      <c r="E72" s="4" t="s">
        <v>2</v>
      </c>
      <c r="F72" s="4" t="s">
        <v>1022</v>
      </c>
      <c r="G72" s="4">
        <v>18</v>
      </c>
      <c r="H72" s="4">
        <v>14256</v>
      </c>
      <c r="I72" s="4">
        <f t="shared" si="1"/>
        <v>256608</v>
      </c>
    </row>
    <row r="73" spans="1:9" x14ac:dyDescent="0.3">
      <c r="A73" s="1">
        <v>72</v>
      </c>
      <c r="B73" s="2" t="s">
        <v>84</v>
      </c>
      <c r="C73" s="3">
        <v>44998</v>
      </c>
      <c r="D73" s="4" t="s">
        <v>19</v>
      </c>
      <c r="E73" s="4" t="s">
        <v>11</v>
      </c>
      <c r="F73" s="4" t="s">
        <v>21</v>
      </c>
      <c r="G73" s="4">
        <v>1</v>
      </c>
      <c r="H73" s="4">
        <v>39681</v>
      </c>
      <c r="I73" s="4">
        <f t="shared" si="1"/>
        <v>39681</v>
      </c>
    </row>
    <row r="74" spans="1:9" x14ac:dyDescent="0.3">
      <c r="A74" s="1">
        <v>73</v>
      </c>
      <c r="B74" s="2" t="s">
        <v>85</v>
      </c>
      <c r="C74" s="3">
        <v>44999</v>
      </c>
      <c r="D74" s="4" t="s">
        <v>7</v>
      </c>
      <c r="E74" s="4" t="s">
        <v>1041</v>
      </c>
      <c r="F74" s="4" t="s">
        <v>15</v>
      </c>
      <c r="G74" s="4">
        <v>7</v>
      </c>
      <c r="H74" s="4">
        <v>69789</v>
      </c>
      <c r="I74" s="4">
        <f t="shared" si="1"/>
        <v>488523</v>
      </c>
    </row>
    <row r="75" spans="1:9" x14ac:dyDescent="0.3">
      <c r="A75" s="1">
        <v>74</v>
      </c>
      <c r="B75" s="2" t="s">
        <v>86</v>
      </c>
      <c r="C75" s="3">
        <v>45000</v>
      </c>
      <c r="D75" s="4" t="s">
        <v>19</v>
      </c>
      <c r="E75" s="4" t="s">
        <v>20</v>
      </c>
      <c r="F75" s="4" t="s">
        <v>3</v>
      </c>
      <c r="G75" s="4">
        <v>6</v>
      </c>
      <c r="H75" s="4">
        <v>48361</v>
      </c>
      <c r="I75" s="4">
        <f t="shared" si="1"/>
        <v>290166</v>
      </c>
    </row>
    <row r="76" spans="1:9" x14ac:dyDescent="0.3">
      <c r="A76" s="1">
        <v>75</v>
      </c>
      <c r="B76" s="2" t="s">
        <v>87</v>
      </c>
      <c r="C76" s="3">
        <v>45001</v>
      </c>
      <c r="D76" s="4" t="s">
        <v>7</v>
      </c>
      <c r="E76" s="4" t="s">
        <v>2</v>
      </c>
      <c r="F76" s="4" t="s">
        <v>15</v>
      </c>
      <c r="G76" s="4">
        <v>15</v>
      </c>
      <c r="H76" s="4">
        <v>69503</v>
      </c>
      <c r="I76" s="4">
        <f t="shared" si="1"/>
        <v>1042545</v>
      </c>
    </row>
    <row r="77" spans="1:9" x14ac:dyDescent="0.3">
      <c r="A77" s="1">
        <v>76</v>
      </c>
      <c r="B77" s="2" t="s">
        <v>88</v>
      </c>
      <c r="C77" s="3">
        <v>45002</v>
      </c>
      <c r="D77" s="4" t="s">
        <v>19</v>
      </c>
      <c r="E77" s="4" t="s">
        <v>2</v>
      </c>
      <c r="F77" s="4" t="s">
        <v>1026</v>
      </c>
      <c r="G77" s="4">
        <v>18</v>
      </c>
      <c r="H77" s="4">
        <v>39540</v>
      </c>
      <c r="I77" s="4">
        <f t="shared" si="1"/>
        <v>711720</v>
      </c>
    </row>
    <row r="78" spans="1:9" x14ac:dyDescent="0.3">
      <c r="A78" s="1">
        <v>77</v>
      </c>
      <c r="B78" s="2" t="s">
        <v>89</v>
      </c>
      <c r="C78" s="3">
        <v>45003</v>
      </c>
      <c r="D78" s="4" t="s">
        <v>5</v>
      </c>
      <c r="E78" s="4" t="s">
        <v>1041</v>
      </c>
      <c r="F78" s="4" t="s">
        <v>15</v>
      </c>
      <c r="G78" s="4">
        <v>11</v>
      </c>
      <c r="H78" s="4">
        <v>31536</v>
      </c>
      <c r="I78" s="4">
        <f t="shared" si="1"/>
        <v>346896</v>
      </c>
    </row>
    <row r="79" spans="1:9" x14ac:dyDescent="0.3">
      <c r="A79" s="1">
        <v>78</v>
      </c>
      <c r="B79" s="2" t="s">
        <v>90</v>
      </c>
      <c r="C79" s="3">
        <v>45004</v>
      </c>
      <c r="D79" s="4" t="s">
        <v>5</v>
      </c>
      <c r="E79" s="4" t="s">
        <v>9</v>
      </c>
      <c r="F79" s="4" t="s">
        <v>1026</v>
      </c>
      <c r="G79" s="4">
        <v>15</v>
      </c>
      <c r="H79" s="4">
        <v>68043</v>
      </c>
      <c r="I79" s="4">
        <f t="shared" si="1"/>
        <v>1020645</v>
      </c>
    </row>
    <row r="80" spans="1:9" x14ac:dyDescent="0.3">
      <c r="A80" s="1">
        <v>79</v>
      </c>
      <c r="B80" s="2" t="s">
        <v>91</v>
      </c>
      <c r="C80" s="3">
        <v>45005</v>
      </c>
      <c r="D80" s="4" t="s">
        <v>1</v>
      </c>
      <c r="E80" s="4" t="s">
        <v>24</v>
      </c>
      <c r="F80" s="4" t="s">
        <v>1026</v>
      </c>
      <c r="G80" s="4">
        <v>16</v>
      </c>
      <c r="H80" s="4">
        <v>61575</v>
      </c>
      <c r="I80" s="4">
        <f t="shared" si="1"/>
        <v>985200</v>
      </c>
    </row>
    <row r="81" spans="1:9" x14ac:dyDescent="0.3">
      <c r="A81" s="1">
        <v>80</v>
      </c>
      <c r="B81" s="2" t="s">
        <v>92</v>
      </c>
      <c r="C81" s="3">
        <v>45006</v>
      </c>
      <c r="D81" s="4" t="s">
        <v>5</v>
      </c>
      <c r="E81" s="4" t="s">
        <v>1040</v>
      </c>
      <c r="F81" s="4" t="s">
        <v>1026</v>
      </c>
      <c r="G81" s="4">
        <v>7</v>
      </c>
      <c r="H81" s="4">
        <v>7871</v>
      </c>
      <c r="I81" s="4">
        <f t="shared" si="1"/>
        <v>55097</v>
      </c>
    </row>
    <row r="82" spans="1:9" x14ac:dyDescent="0.3">
      <c r="A82" s="1">
        <v>81</v>
      </c>
      <c r="B82" s="2" t="s">
        <v>93</v>
      </c>
      <c r="C82" s="3">
        <v>45007</v>
      </c>
      <c r="D82" s="4" t="s">
        <v>1</v>
      </c>
      <c r="E82" s="4" t="s">
        <v>1040</v>
      </c>
      <c r="F82" s="4" t="s">
        <v>21</v>
      </c>
      <c r="G82" s="4">
        <v>10</v>
      </c>
      <c r="H82" s="4">
        <v>51002</v>
      </c>
      <c r="I82" s="4">
        <f t="shared" si="1"/>
        <v>510020</v>
      </c>
    </row>
    <row r="83" spans="1:9" x14ac:dyDescent="0.3">
      <c r="A83" s="1">
        <v>82</v>
      </c>
      <c r="B83" s="2" t="s">
        <v>94</v>
      </c>
      <c r="C83" s="3">
        <v>45008</v>
      </c>
      <c r="D83" s="4" t="s">
        <v>5</v>
      </c>
      <c r="E83" s="4" t="s">
        <v>11</v>
      </c>
      <c r="F83" s="4" t="s">
        <v>1026</v>
      </c>
      <c r="G83" s="4">
        <v>12</v>
      </c>
      <c r="H83" s="4">
        <v>54812</v>
      </c>
      <c r="I83" s="4">
        <f t="shared" si="1"/>
        <v>657744</v>
      </c>
    </row>
    <row r="84" spans="1:9" x14ac:dyDescent="0.3">
      <c r="A84" s="1">
        <v>83</v>
      </c>
      <c r="B84" s="2" t="s">
        <v>95</v>
      </c>
      <c r="C84" s="3">
        <v>45009</v>
      </c>
      <c r="D84" s="4" t="s">
        <v>7</v>
      </c>
      <c r="E84" s="4" t="s">
        <v>24</v>
      </c>
      <c r="F84" s="4" t="s">
        <v>1026</v>
      </c>
      <c r="G84" s="4">
        <v>14</v>
      </c>
      <c r="H84" s="4">
        <v>27626</v>
      </c>
      <c r="I84" s="4">
        <f t="shared" si="1"/>
        <v>386764</v>
      </c>
    </row>
    <row r="85" spans="1:9" x14ac:dyDescent="0.3">
      <c r="A85" s="1">
        <v>84</v>
      </c>
      <c r="B85" s="2" t="s">
        <v>96</v>
      </c>
      <c r="C85" s="3">
        <v>45010</v>
      </c>
      <c r="D85" s="4" t="s">
        <v>5</v>
      </c>
      <c r="E85" s="4" t="s">
        <v>24</v>
      </c>
      <c r="F85" s="4" t="s">
        <v>3</v>
      </c>
      <c r="G85" s="4">
        <v>5</v>
      </c>
      <c r="H85" s="4">
        <v>64979</v>
      </c>
      <c r="I85" s="4">
        <f t="shared" si="1"/>
        <v>324895</v>
      </c>
    </row>
    <row r="86" spans="1:9" x14ac:dyDescent="0.3">
      <c r="A86" s="1">
        <v>85</v>
      </c>
      <c r="B86" s="2" t="s">
        <v>97</v>
      </c>
      <c r="C86" s="3">
        <v>45011</v>
      </c>
      <c r="D86" s="4" t="s">
        <v>1</v>
      </c>
      <c r="E86" s="4" t="s">
        <v>24</v>
      </c>
      <c r="F86" s="4" t="s">
        <v>1022</v>
      </c>
      <c r="G86" s="4">
        <v>18</v>
      </c>
      <c r="H86" s="4">
        <v>71668</v>
      </c>
      <c r="I86" s="4">
        <f t="shared" si="1"/>
        <v>1290024</v>
      </c>
    </row>
    <row r="87" spans="1:9" x14ac:dyDescent="0.3">
      <c r="A87" s="1">
        <v>86</v>
      </c>
      <c r="B87" s="2" t="s">
        <v>98</v>
      </c>
      <c r="C87" s="3">
        <v>45012</v>
      </c>
      <c r="D87" s="4" t="s">
        <v>1</v>
      </c>
      <c r="E87" s="4" t="s">
        <v>24</v>
      </c>
      <c r="F87" s="4" t="s">
        <v>1024</v>
      </c>
      <c r="G87" s="4">
        <v>5</v>
      </c>
      <c r="H87" s="4">
        <v>47998</v>
      </c>
      <c r="I87" s="4">
        <f t="shared" si="1"/>
        <v>239990</v>
      </c>
    </row>
    <row r="88" spans="1:9" x14ac:dyDescent="0.3">
      <c r="A88" s="1">
        <v>87</v>
      </c>
      <c r="B88" s="2" t="s">
        <v>99</v>
      </c>
      <c r="C88" s="3">
        <v>45013</v>
      </c>
      <c r="D88" s="4" t="s">
        <v>19</v>
      </c>
      <c r="E88" s="4" t="s">
        <v>1040</v>
      </c>
      <c r="F88" s="4" t="s">
        <v>1022</v>
      </c>
      <c r="G88" s="4">
        <v>3</v>
      </c>
      <c r="H88" s="4">
        <v>68814</v>
      </c>
      <c r="I88" s="4">
        <f t="shared" si="1"/>
        <v>206442</v>
      </c>
    </row>
    <row r="89" spans="1:9" x14ac:dyDescent="0.3">
      <c r="A89" s="1">
        <v>88</v>
      </c>
      <c r="B89" s="2" t="s">
        <v>100</v>
      </c>
      <c r="C89" s="3">
        <v>45014</v>
      </c>
      <c r="D89" s="4" t="s">
        <v>7</v>
      </c>
      <c r="E89" s="4" t="s">
        <v>1040</v>
      </c>
      <c r="F89" s="4" t="s">
        <v>1026</v>
      </c>
      <c r="G89" s="4">
        <v>5</v>
      </c>
      <c r="H89" s="4">
        <v>50607</v>
      </c>
      <c r="I89" s="4">
        <f t="shared" si="1"/>
        <v>253035</v>
      </c>
    </row>
    <row r="90" spans="1:9" x14ac:dyDescent="0.3">
      <c r="A90" s="1">
        <v>89</v>
      </c>
      <c r="B90" s="2" t="s">
        <v>101</v>
      </c>
      <c r="C90" s="3">
        <v>45015</v>
      </c>
      <c r="D90" s="4" t="s">
        <v>5</v>
      </c>
      <c r="E90" s="4" t="s">
        <v>24</v>
      </c>
      <c r="F90" s="4" t="s">
        <v>3</v>
      </c>
      <c r="G90" s="4">
        <v>17</v>
      </c>
      <c r="H90" s="4">
        <v>12812</v>
      </c>
      <c r="I90" s="4">
        <f t="shared" si="1"/>
        <v>217804</v>
      </c>
    </row>
    <row r="91" spans="1:9" x14ac:dyDescent="0.3">
      <c r="A91" s="1">
        <v>90</v>
      </c>
      <c r="B91" s="2" t="s">
        <v>102</v>
      </c>
      <c r="C91" s="3">
        <v>45016</v>
      </c>
      <c r="D91" s="4" t="s">
        <v>19</v>
      </c>
      <c r="E91" s="4" t="s">
        <v>11</v>
      </c>
      <c r="F91" s="4" t="s">
        <v>15</v>
      </c>
      <c r="G91" s="4">
        <v>19</v>
      </c>
      <c r="H91" s="4">
        <v>66844</v>
      </c>
      <c r="I91" s="4">
        <f t="shared" si="1"/>
        <v>1270036</v>
      </c>
    </row>
    <row r="92" spans="1:9" x14ac:dyDescent="0.3">
      <c r="A92" s="1">
        <v>91</v>
      </c>
      <c r="B92" s="2" t="s">
        <v>103</v>
      </c>
      <c r="C92" s="3">
        <v>45017</v>
      </c>
      <c r="D92" s="4" t="s">
        <v>5</v>
      </c>
      <c r="E92" s="4" t="s">
        <v>1040</v>
      </c>
      <c r="F92" s="4" t="s">
        <v>3</v>
      </c>
      <c r="G92" s="4">
        <v>19</v>
      </c>
      <c r="H92" s="4">
        <v>7179</v>
      </c>
      <c r="I92" s="4">
        <f t="shared" si="1"/>
        <v>136401</v>
      </c>
    </row>
    <row r="93" spans="1:9" x14ac:dyDescent="0.3">
      <c r="A93" s="1">
        <v>92</v>
      </c>
      <c r="B93" s="2" t="s">
        <v>104</v>
      </c>
      <c r="C93" s="3">
        <v>45018</v>
      </c>
      <c r="D93" s="4" t="s">
        <v>5</v>
      </c>
      <c r="E93" s="4" t="s">
        <v>1040</v>
      </c>
      <c r="F93" s="4" t="s">
        <v>1026</v>
      </c>
      <c r="G93" s="4">
        <v>12</v>
      </c>
      <c r="H93" s="4">
        <v>48798</v>
      </c>
      <c r="I93" s="4">
        <f t="shared" si="1"/>
        <v>585576</v>
      </c>
    </row>
    <row r="94" spans="1:9" x14ac:dyDescent="0.3">
      <c r="A94" s="1">
        <v>93</v>
      </c>
      <c r="B94" s="2" t="s">
        <v>105</v>
      </c>
      <c r="C94" s="3">
        <v>45019</v>
      </c>
      <c r="D94" s="4" t="s">
        <v>19</v>
      </c>
      <c r="E94" s="4" t="s">
        <v>11</v>
      </c>
      <c r="F94" s="4" t="s">
        <v>3</v>
      </c>
      <c r="G94" s="4">
        <v>9</v>
      </c>
      <c r="H94" s="4">
        <v>13275</v>
      </c>
      <c r="I94" s="4">
        <f t="shared" si="1"/>
        <v>119475</v>
      </c>
    </row>
    <row r="95" spans="1:9" x14ac:dyDescent="0.3">
      <c r="A95" s="1">
        <v>94</v>
      </c>
      <c r="B95" s="2" t="s">
        <v>106</v>
      </c>
      <c r="C95" s="3">
        <v>45020</v>
      </c>
      <c r="D95" s="4" t="s">
        <v>19</v>
      </c>
      <c r="E95" s="4" t="s">
        <v>24</v>
      </c>
      <c r="F95" s="4" t="s">
        <v>3</v>
      </c>
      <c r="G95" s="4">
        <v>1</v>
      </c>
      <c r="H95" s="4">
        <v>55574</v>
      </c>
      <c r="I95" s="4">
        <f t="shared" si="1"/>
        <v>55574</v>
      </c>
    </row>
    <row r="96" spans="1:9" x14ac:dyDescent="0.3">
      <c r="A96" s="1">
        <v>95</v>
      </c>
      <c r="B96" s="2" t="s">
        <v>107</v>
      </c>
      <c r="C96" s="3">
        <v>45021</v>
      </c>
      <c r="D96" s="4" t="s">
        <v>19</v>
      </c>
      <c r="E96" s="4" t="s">
        <v>1040</v>
      </c>
      <c r="F96" s="4" t="s">
        <v>1026</v>
      </c>
      <c r="G96" s="4">
        <v>18</v>
      </c>
      <c r="H96" s="4">
        <v>52857</v>
      </c>
      <c r="I96" s="4">
        <f t="shared" si="1"/>
        <v>951426</v>
      </c>
    </row>
    <row r="97" spans="1:9" x14ac:dyDescent="0.3">
      <c r="A97" s="1">
        <v>96</v>
      </c>
      <c r="B97" s="2" t="s">
        <v>108</v>
      </c>
      <c r="C97" s="3">
        <v>45022</v>
      </c>
      <c r="D97" s="4" t="s">
        <v>19</v>
      </c>
      <c r="E97" s="4" t="s">
        <v>1040</v>
      </c>
      <c r="F97" s="4" t="s">
        <v>21</v>
      </c>
      <c r="G97" s="4">
        <v>4</v>
      </c>
      <c r="H97" s="4">
        <v>25700</v>
      </c>
      <c r="I97" s="4">
        <f t="shared" si="1"/>
        <v>102800</v>
      </c>
    </row>
    <row r="98" spans="1:9" x14ac:dyDescent="0.3">
      <c r="A98" s="1">
        <v>97</v>
      </c>
      <c r="B98" s="2" t="s">
        <v>109</v>
      </c>
      <c r="C98" s="3">
        <v>45023</v>
      </c>
      <c r="D98" s="4" t="s">
        <v>19</v>
      </c>
      <c r="E98" s="4" t="s">
        <v>9</v>
      </c>
      <c r="F98" s="4" t="s">
        <v>3</v>
      </c>
      <c r="G98" s="4">
        <v>10</v>
      </c>
      <c r="H98" s="4">
        <v>44464</v>
      </c>
      <c r="I98" s="4">
        <f t="shared" si="1"/>
        <v>444640</v>
      </c>
    </row>
    <row r="99" spans="1:9" x14ac:dyDescent="0.3">
      <c r="A99" s="1">
        <v>98</v>
      </c>
      <c r="B99" s="2" t="s">
        <v>110</v>
      </c>
      <c r="C99" s="3">
        <v>45024</v>
      </c>
      <c r="D99" s="4" t="s">
        <v>5</v>
      </c>
      <c r="E99" s="4" t="s">
        <v>9</v>
      </c>
      <c r="F99" s="4" t="s">
        <v>1024</v>
      </c>
      <c r="G99" s="4">
        <v>7</v>
      </c>
      <c r="H99" s="4">
        <v>47351</v>
      </c>
      <c r="I99" s="4">
        <f t="shared" si="1"/>
        <v>331457</v>
      </c>
    </row>
    <row r="100" spans="1:9" x14ac:dyDescent="0.3">
      <c r="A100" s="1">
        <v>99</v>
      </c>
      <c r="B100" s="2" t="s">
        <v>111</v>
      </c>
      <c r="C100" s="3">
        <v>45025</v>
      </c>
      <c r="D100" s="4" t="s">
        <v>19</v>
      </c>
      <c r="E100" s="4" t="s">
        <v>11</v>
      </c>
      <c r="F100" s="4" t="s">
        <v>1024</v>
      </c>
      <c r="G100" s="4">
        <v>1</v>
      </c>
      <c r="H100" s="4">
        <v>18869</v>
      </c>
      <c r="I100" s="4">
        <f t="shared" si="1"/>
        <v>18869</v>
      </c>
    </row>
    <row r="101" spans="1:9" x14ac:dyDescent="0.3">
      <c r="A101" s="1">
        <v>100</v>
      </c>
      <c r="B101" s="2" t="s">
        <v>112</v>
      </c>
      <c r="C101" s="3">
        <v>45026</v>
      </c>
      <c r="D101" s="4" t="s">
        <v>7</v>
      </c>
      <c r="E101" s="4" t="s">
        <v>24</v>
      </c>
      <c r="F101" s="4" t="s">
        <v>3</v>
      </c>
      <c r="G101" s="4">
        <v>17</v>
      </c>
      <c r="H101" s="4">
        <v>65315</v>
      </c>
      <c r="I101" s="4">
        <f t="shared" si="1"/>
        <v>1110355</v>
      </c>
    </row>
    <row r="102" spans="1:9" x14ac:dyDescent="0.3">
      <c r="A102" s="1">
        <v>101</v>
      </c>
      <c r="B102" s="2" t="s">
        <v>113</v>
      </c>
      <c r="C102" s="3">
        <v>45027</v>
      </c>
      <c r="D102" s="4" t="s">
        <v>1</v>
      </c>
      <c r="E102" s="4" t="s">
        <v>1040</v>
      </c>
      <c r="F102" s="4" t="s">
        <v>21</v>
      </c>
      <c r="G102" s="4">
        <v>2</v>
      </c>
      <c r="H102" s="4">
        <v>25954</v>
      </c>
      <c r="I102" s="4">
        <f t="shared" si="1"/>
        <v>51908</v>
      </c>
    </row>
    <row r="103" spans="1:9" x14ac:dyDescent="0.3">
      <c r="A103" s="1">
        <v>102</v>
      </c>
      <c r="B103" s="2" t="s">
        <v>114</v>
      </c>
      <c r="C103" s="3">
        <v>45028</v>
      </c>
      <c r="D103" s="4" t="s">
        <v>19</v>
      </c>
      <c r="E103" s="4" t="s">
        <v>24</v>
      </c>
      <c r="F103" s="4" t="s">
        <v>15</v>
      </c>
      <c r="G103" s="4">
        <v>11</v>
      </c>
      <c r="H103" s="4">
        <v>36555</v>
      </c>
      <c r="I103" s="4">
        <f t="shared" si="1"/>
        <v>402105</v>
      </c>
    </row>
    <row r="104" spans="1:9" x14ac:dyDescent="0.3">
      <c r="A104" s="1">
        <v>103</v>
      </c>
      <c r="B104" s="2" t="s">
        <v>115</v>
      </c>
      <c r="C104" s="3">
        <v>45029</v>
      </c>
      <c r="D104" s="4" t="s">
        <v>19</v>
      </c>
      <c r="E104" s="4" t="s">
        <v>1040</v>
      </c>
      <c r="F104" s="4" t="s">
        <v>1026</v>
      </c>
      <c r="G104" s="4">
        <v>9</v>
      </c>
      <c r="H104" s="4">
        <v>68353</v>
      </c>
      <c r="I104" s="4">
        <f t="shared" si="1"/>
        <v>615177</v>
      </c>
    </row>
    <row r="105" spans="1:9" x14ac:dyDescent="0.3">
      <c r="A105" s="1">
        <v>104</v>
      </c>
      <c r="B105" s="2" t="s">
        <v>116</v>
      </c>
      <c r="C105" s="3">
        <v>45030</v>
      </c>
      <c r="D105" s="4" t="s">
        <v>5</v>
      </c>
      <c r="E105" s="4" t="s">
        <v>1040</v>
      </c>
      <c r="F105" s="4" t="s">
        <v>1024</v>
      </c>
      <c r="G105" s="4">
        <v>7</v>
      </c>
      <c r="H105" s="4">
        <v>50026</v>
      </c>
      <c r="I105" s="4">
        <f t="shared" si="1"/>
        <v>350182</v>
      </c>
    </row>
    <row r="106" spans="1:9" x14ac:dyDescent="0.3">
      <c r="A106" s="1">
        <v>105</v>
      </c>
      <c r="B106" s="2" t="s">
        <v>117</v>
      </c>
      <c r="C106" s="3">
        <v>45031</v>
      </c>
      <c r="D106" s="4" t="s">
        <v>19</v>
      </c>
      <c r="E106" s="4" t="s">
        <v>11</v>
      </c>
      <c r="F106" s="4" t="s">
        <v>15</v>
      </c>
      <c r="G106" s="4">
        <v>17</v>
      </c>
      <c r="H106" s="4">
        <v>51976</v>
      </c>
      <c r="I106" s="4">
        <f t="shared" si="1"/>
        <v>883592</v>
      </c>
    </row>
    <row r="107" spans="1:9" x14ac:dyDescent="0.3">
      <c r="A107" s="1">
        <v>106</v>
      </c>
      <c r="B107" s="2" t="s">
        <v>118</v>
      </c>
      <c r="C107" s="3">
        <v>45032</v>
      </c>
      <c r="D107" s="4" t="s">
        <v>19</v>
      </c>
      <c r="E107" s="4" t="s">
        <v>9</v>
      </c>
      <c r="F107" s="4" t="s">
        <v>3</v>
      </c>
      <c r="G107" s="4">
        <v>17</v>
      </c>
      <c r="H107" s="4">
        <v>50095</v>
      </c>
      <c r="I107" s="4">
        <f t="shared" si="1"/>
        <v>851615</v>
      </c>
    </row>
    <row r="108" spans="1:9" x14ac:dyDescent="0.3">
      <c r="A108" s="1">
        <v>107</v>
      </c>
      <c r="B108" s="2" t="s">
        <v>119</v>
      </c>
      <c r="C108" s="3">
        <v>45033</v>
      </c>
      <c r="D108" s="4" t="s">
        <v>19</v>
      </c>
      <c r="E108" s="4" t="s">
        <v>24</v>
      </c>
      <c r="F108" s="4" t="s">
        <v>15</v>
      </c>
      <c r="G108" s="4">
        <v>2</v>
      </c>
      <c r="H108" s="4">
        <v>19270</v>
      </c>
      <c r="I108" s="4">
        <f t="shared" si="1"/>
        <v>38540</v>
      </c>
    </row>
    <row r="109" spans="1:9" x14ac:dyDescent="0.3">
      <c r="A109" s="1">
        <v>108</v>
      </c>
      <c r="B109" s="2" t="s">
        <v>120</v>
      </c>
      <c r="C109" s="3">
        <v>45034</v>
      </c>
      <c r="D109" s="4" t="s">
        <v>5</v>
      </c>
      <c r="E109" s="4" t="s">
        <v>9</v>
      </c>
      <c r="F109" s="4" t="s">
        <v>1022</v>
      </c>
      <c r="G109" s="4">
        <v>6</v>
      </c>
      <c r="H109" s="4">
        <v>35908</v>
      </c>
      <c r="I109" s="4">
        <f t="shared" si="1"/>
        <v>215448</v>
      </c>
    </row>
    <row r="110" spans="1:9" x14ac:dyDescent="0.3">
      <c r="A110" s="1">
        <v>109</v>
      </c>
      <c r="B110" s="2" t="s">
        <v>121</v>
      </c>
      <c r="C110" s="3">
        <v>45035</v>
      </c>
      <c r="D110" s="4" t="s">
        <v>19</v>
      </c>
      <c r="E110" s="4" t="s">
        <v>24</v>
      </c>
      <c r="F110" s="4" t="s">
        <v>1024</v>
      </c>
      <c r="G110" s="4">
        <v>14</v>
      </c>
      <c r="H110" s="4">
        <v>20523</v>
      </c>
      <c r="I110" s="4">
        <f t="shared" si="1"/>
        <v>287322</v>
      </c>
    </row>
    <row r="111" spans="1:9" x14ac:dyDescent="0.3">
      <c r="A111" s="1">
        <v>110</v>
      </c>
      <c r="B111" s="2" t="s">
        <v>122</v>
      </c>
      <c r="C111" s="3">
        <v>45036</v>
      </c>
      <c r="D111" s="4" t="s">
        <v>1</v>
      </c>
      <c r="E111" s="4" t="s">
        <v>9</v>
      </c>
      <c r="F111" s="4" t="s">
        <v>3</v>
      </c>
      <c r="G111" s="4">
        <v>6</v>
      </c>
      <c r="H111" s="4">
        <v>67433</v>
      </c>
      <c r="I111" s="4">
        <f t="shared" si="1"/>
        <v>404598</v>
      </c>
    </row>
    <row r="112" spans="1:9" x14ac:dyDescent="0.3">
      <c r="A112" s="1">
        <v>111</v>
      </c>
      <c r="B112" s="2" t="s">
        <v>123</v>
      </c>
      <c r="C112" s="3">
        <v>45037</v>
      </c>
      <c r="D112" s="4" t="s">
        <v>5</v>
      </c>
      <c r="E112" s="4" t="s">
        <v>1040</v>
      </c>
      <c r="F112" s="4" t="s">
        <v>1026</v>
      </c>
      <c r="G112" s="4">
        <v>2</v>
      </c>
      <c r="H112" s="4">
        <v>52068</v>
      </c>
      <c r="I112" s="4">
        <f t="shared" si="1"/>
        <v>104136</v>
      </c>
    </row>
    <row r="113" spans="1:9" x14ac:dyDescent="0.3">
      <c r="A113" s="1">
        <v>112</v>
      </c>
      <c r="B113" s="2" t="s">
        <v>124</v>
      </c>
      <c r="C113" s="3">
        <v>45038</v>
      </c>
      <c r="D113" s="4" t="s">
        <v>1</v>
      </c>
      <c r="E113" s="4" t="s">
        <v>1040</v>
      </c>
      <c r="F113" s="4" t="s">
        <v>21</v>
      </c>
      <c r="G113" s="4">
        <v>1</v>
      </c>
      <c r="H113" s="4">
        <v>24991</v>
      </c>
      <c r="I113" s="4">
        <f t="shared" si="1"/>
        <v>24991</v>
      </c>
    </row>
    <row r="114" spans="1:9" x14ac:dyDescent="0.3">
      <c r="A114" s="1">
        <v>113</v>
      </c>
      <c r="B114" s="2" t="s">
        <v>125</v>
      </c>
      <c r="C114" s="3">
        <v>45039</v>
      </c>
      <c r="D114" s="4" t="s">
        <v>5</v>
      </c>
      <c r="E114" s="4" t="s">
        <v>1040</v>
      </c>
      <c r="F114" s="4" t="s">
        <v>3</v>
      </c>
      <c r="G114" s="4">
        <v>10</v>
      </c>
      <c r="H114" s="4">
        <v>15775</v>
      </c>
      <c r="I114" s="4">
        <f t="shared" si="1"/>
        <v>157750</v>
      </c>
    </row>
    <row r="115" spans="1:9" x14ac:dyDescent="0.3">
      <c r="A115" s="1">
        <v>114</v>
      </c>
      <c r="B115" s="2" t="s">
        <v>126</v>
      </c>
      <c r="C115" s="3">
        <v>45040</v>
      </c>
      <c r="D115" s="4" t="s">
        <v>19</v>
      </c>
      <c r="E115" s="4" t="s">
        <v>1040</v>
      </c>
      <c r="F115" s="4" t="s">
        <v>1026</v>
      </c>
      <c r="G115" s="4">
        <v>5</v>
      </c>
      <c r="H115" s="4">
        <v>66250</v>
      </c>
      <c r="I115" s="4">
        <f t="shared" si="1"/>
        <v>331250</v>
      </c>
    </row>
    <row r="116" spans="1:9" x14ac:dyDescent="0.3">
      <c r="A116" s="1">
        <v>115</v>
      </c>
      <c r="B116" s="2" t="s">
        <v>127</v>
      </c>
      <c r="C116" s="3">
        <v>45041</v>
      </c>
      <c r="D116" s="4" t="s">
        <v>1</v>
      </c>
      <c r="E116" s="4" t="s">
        <v>1040</v>
      </c>
      <c r="F116" s="4" t="s">
        <v>21</v>
      </c>
      <c r="G116" s="4">
        <v>2</v>
      </c>
      <c r="H116" s="4">
        <v>21673</v>
      </c>
      <c r="I116" s="4">
        <f t="shared" si="1"/>
        <v>43346</v>
      </c>
    </row>
    <row r="117" spans="1:9" x14ac:dyDescent="0.3">
      <c r="A117" s="1">
        <v>116</v>
      </c>
      <c r="B117" s="2" t="s">
        <v>128</v>
      </c>
      <c r="C117" s="3">
        <v>45042</v>
      </c>
      <c r="D117" s="4" t="s">
        <v>5</v>
      </c>
      <c r="E117" s="4" t="s">
        <v>1040</v>
      </c>
      <c r="F117" s="4" t="s">
        <v>21</v>
      </c>
      <c r="G117" s="4">
        <v>16</v>
      </c>
      <c r="H117" s="4">
        <v>32056</v>
      </c>
      <c r="I117" s="4">
        <f t="shared" si="1"/>
        <v>512896</v>
      </c>
    </row>
    <row r="118" spans="1:9" x14ac:dyDescent="0.3">
      <c r="A118" s="1">
        <v>117</v>
      </c>
      <c r="B118" s="2" t="s">
        <v>129</v>
      </c>
      <c r="C118" s="3">
        <v>45043</v>
      </c>
      <c r="D118" s="4" t="s">
        <v>7</v>
      </c>
      <c r="E118" s="4" t="s">
        <v>11</v>
      </c>
      <c r="F118" s="4" t="s">
        <v>3</v>
      </c>
      <c r="G118" s="4">
        <v>2</v>
      </c>
      <c r="H118" s="4">
        <v>11614</v>
      </c>
      <c r="I118" s="4">
        <f t="shared" si="1"/>
        <v>23228</v>
      </c>
    </row>
    <row r="119" spans="1:9" x14ac:dyDescent="0.3">
      <c r="A119" s="1">
        <v>118</v>
      </c>
      <c r="B119" s="2" t="s">
        <v>130</v>
      </c>
      <c r="C119" s="3">
        <v>45044</v>
      </c>
      <c r="D119" s="4" t="s">
        <v>19</v>
      </c>
      <c r="E119" s="4" t="s">
        <v>1040</v>
      </c>
      <c r="F119" s="4" t="s">
        <v>15</v>
      </c>
      <c r="G119" s="4">
        <v>10</v>
      </c>
      <c r="H119" s="4">
        <v>12415</v>
      </c>
      <c r="I119" s="4">
        <f t="shared" si="1"/>
        <v>124150</v>
      </c>
    </row>
    <row r="120" spans="1:9" x14ac:dyDescent="0.3">
      <c r="A120" s="1">
        <v>119</v>
      </c>
      <c r="B120" s="2" t="s">
        <v>131</v>
      </c>
      <c r="C120" s="3">
        <v>45045</v>
      </c>
      <c r="D120" s="4" t="s">
        <v>5</v>
      </c>
      <c r="E120" s="4" t="s">
        <v>1040</v>
      </c>
      <c r="F120" s="4" t="s">
        <v>15</v>
      </c>
      <c r="G120" s="4">
        <v>2</v>
      </c>
      <c r="H120" s="4">
        <v>48884</v>
      </c>
      <c r="I120" s="4">
        <f t="shared" si="1"/>
        <v>97768</v>
      </c>
    </row>
    <row r="121" spans="1:9" x14ac:dyDescent="0.3">
      <c r="A121" s="1">
        <v>120</v>
      </c>
      <c r="B121" s="2" t="s">
        <v>132</v>
      </c>
      <c r="C121" s="3">
        <v>45046</v>
      </c>
      <c r="D121" s="4" t="s">
        <v>7</v>
      </c>
      <c r="E121" s="4" t="s">
        <v>1040</v>
      </c>
      <c r="F121" s="4" t="s">
        <v>21</v>
      </c>
      <c r="G121" s="4">
        <v>16</v>
      </c>
      <c r="H121" s="4">
        <v>21964</v>
      </c>
      <c r="I121" s="4">
        <f t="shared" si="1"/>
        <v>351424</v>
      </c>
    </row>
    <row r="122" spans="1:9" x14ac:dyDescent="0.3">
      <c r="A122" s="1">
        <v>121</v>
      </c>
      <c r="B122" s="2" t="s">
        <v>133</v>
      </c>
      <c r="C122" s="3">
        <v>45047</v>
      </c>
      <c r="D122" s="4" t="s">
        <v>5</v>
      </c>
      <c r="E122" s="4" t="s">
        <v>20</v>
      </c>
      <c r="F122" s="4" t="s">
        <v>15</v>
      </c>
      <c r="G122" s="4">
        <v>16</v>
      </c>
      <c r="H122" s="4">
        <v>42726</v>
      </c>
      <c r="I122" s="4">
        <f t="shared" si="1"/>
        <v>683616</v>
      </c>
    </row>
    <row r="123" spans="1:9" x14ac:dyDescent="0.3">
      <c r="A123" s="1">
        <v>122</v>
      </c>
      <c r="B123" s="2" t="s">
        <v>134</v>
      </c>
      <c r="C123" s="3">
        <v>45048</v>
      </c>
      <c r="D123" s="4" t="s">
        <v>7</v>
      </c>
      <c r="E123" s="4" t="s">
        <v>20</v>
      </c>
      <c r="F123" s="4" t="s">
        <v>1022</v>
      </c>
      <c r="G123" s="4">
        <v>19</v>
      </c>
      <c r="H123" s="4">
        <v>42044</v>
      </c>
      <c r="I123" s="4">
        <f t="shared" si="1"/>
        <v>798836</v>
      </c>
    </row>
    <row r="124" spans="1:9" x14ac:dyDescent="0.3">
      <c r="A124" s="1">
        <v>123</v>
      </c>
      <c r="B124" s="2" t="s">
        <v>135</v>
      </c>
      <c r="C124" s="3">
        <v>45049</v>
      </c>
      <c r="D124" s="4" t="s">
        <v>19</v>
      </c>
      <c r="E124" s="4" t="s">
        <v>9</v>
      </c>
      <c r="F124" s="4" t="s">
        <v>21</v>
      </c>
      <c r="G124" s="4">
        <v>7</v>
      </c>
      <c r="H124" s="4">
        <v>62149</v>
      </c>
      <c r="I124" s="4">
        <f t="shared" si="1"/>
        <v>435043</v>
      </c>
    </row>
    <row r="125" spans="1:9" x14ac:dyDescent="0.3">
      <c r="A125" s="1">
        <v>124</v>
      </c>
      <c r="B125" s="2" t="s">
        <v>136</v>
      </c>
      <c r="C125" s="3">
        <v>45050</v>
      </c>
      <c r="D125" s="4" t="s">
        <v>1</v>
      </c>
      <c r="E125" s="4" t="s">
        <v>24</v>
      </c>
      <c r="F125" s="4" t="s">
        <v>21</v>
      </c>
      <c r="G125" s="4">
        <v>12</v>
      </c>
      <c r="H125" s="4">
        <v>42544</v>
      </c>
      <c r="I125" s="4">
        <f t="shared" si="1"/>
        <v>510528</v>
      </c>
    </row>
    <row r="126" spans="1:9" x14ac:dyDescent="0.3">
      <c r="A126" s="1">
        <v>125</v>
      </c>
      <c r="B126" s="2" t="s">
        <v>137</v>
      </c>
      <c r="C126" s="3">
        <v>45051</v>
      </c>
      <c r="D126" s="4" t="s">
        <v>7</v>
      </c>
      <c r="E126" s="4" t="s">
        <v>9</v>
      </c>
      <c r="F126" s="4" t="s">
        <v>1026</v>
      </c>
      <c r="G126" s="4">
        <v>15</v>
      </c>
      <c r="H126" s="4">
        <v>54976</v>
      </c>
      <c r="I126" s="4">
        <f t="shared" si="1"/>
        <v>824640</v>
      </c>
    </row>
    <row r="127" spans="1:9" x14ac:dyDescent="0.3">
      <c r="A127" s="1">
        <v>126</v>
      </c>
      <c r="B127" s="2" t="s">
        <v>138</v>
      </c>
      <c r="C127" s="3">
        <v>45052</v>
      </c>
      <c r="D127" s="4" t="s">
        <v>5</v>
      </c>
      <c r="E127" s="4" t="s">
        <v>1041</v>
      </c>
      <c r="F127" s="4" t="s">
        <v>15</v>
      </c>
      <c r="G127" s="4">
        <v>8</v>
      </c>
      <c r="H127" s="4">
        <v>37252</v>
      </c>
      <c r="I127" s="4">
        <f t="shared" si="1"/>
        <v>298016</v>
      </c>
    </row>
    <row r="128" spans="1:9" x14ac:dyDescent="0.3">
      <c r="A128" s="1">
        <v>127</v>
      </c>
      <c r="B128" s="2" t="s">
        <v>139</v>
      </c>
      <c r="C128" s="3">
        <v>45053</v>
      </c>
      <c r="D128" s="4" t="s">
        <v>19</v>
      </c>
      <c r="E128" s="4" t="s">
        <v>20</v>
      </c>
      <c r="F128" s="4" t="s">
        <v>21</v>
      </c>
      <c r="G128" s="4">
        <v>6</v>
      </c>
      <c r="H128" s="4">
        <v>8832</v>
      </c>
      <c r="I128" s="4">
        <f t="shared" si="1"/>
        <v>52992</v>
      </c>
    </row>
    <row r="129" spans="1:9" x14ac:dyDescent="0.3">
      <c r="A129" s="1">
        <v>128</v>
      </c>
      <c r="B129" s="2" t="s">
        <v>140</v>
      </c>
      <c r="C129" s="3">
        <v>45054</v>
      </c>
      <c r="D129" s="4" t="s">
        <v>7</v>
      </c>
      <c r="E129" s="4" t="s">
        <v>20</v>
      </c>
      <c r="F129" s="4" t="s">
        <v>1022</v>
      </c>
      <c r="G129" s="4">
        <v>10</v>
      </c>
      <c r="H129" s="4">
        <v>39148</v>
      </c>
      <c r="I129" s="4">
        <f t="shared" si="1"/>
        <v>391480</v>
      </c>
    </row>
    <row r="130" spans="1:9" x14ac:dyDescent="0.3">
      <c r="A130" s="1">
        <v>129</v>
      </c>
      <c r="B130" s="2" t="s">
        <v>141</v>
      </c>
      <c r="C130" s="3">
        <v>45055</v>
      </c>
      <c r="D130" s="4" t="s">
        <v>5</v>
      </c>
      <c r="E130" s="4" t="s">
        <v>9</v>
      </c>
      <c r="F130" s="4" t="s">
        <v>1026</v>
      </c>
      <c r="G130" s="4">
        <v>3</v>
      </c>
      <c r="H130" s="4">
        <v>66240</v>
      </c>
      <c r="I130" s="4">
        <f t="shared" si="1"/>
        <v>198720</v>
      </c>
    </row>
    <row r="131" spans="1:9" x14ac:dyDescent="0.3">
      <c r="A131" s="1">
        <v>130</v>
      </c>
      <c r="B131" s="2" t="s">
        <v>142</v>
      </c>
      <c r="C131" s="3">
        <v>45056</v>
      </c>
      <c r="D131" s="4" t="s">
        <v>5</v>
      </c>
      <c r="E131" s="4" t="s">
        <v>9</v>
      </c>
      <c r="F131" s="4" t="s">
        <v>3</v>
      </c>
      <c r="G131" s="4">
        <v>19</v>
      </c>
      <c r="H131" s="4">
        <v>58459</v>
      </c>
      <c r="I131" s="4">
        <f t="shared" ref="I131:I194" si="2">G131*H131</f>
        <v>1110721</v>
      </c>
    </row>
    <row r="132" spans="1:9" x14ac:dyDescent="0.3">
      <c r="A132" s="1">
        <v>131</v>
      </c>
      <c r="B132" s="2" t="s">
        <v>143</v>
      </c>
      <c r="C132" s="3">
        <v>45057</v>
      </c>
      <c r="D132" s="4" t="s">
        <v>5</v>
      </c>
      <c r="E132" s="4" t="s">
        <v>1041</v>
      </c>
      <c r="F132" s="4" t="s">
        <v>21</v>
      </c>
      <c r="G132" s="4">
        <v>17</v>
      </c>
      <c r="H132" s="4">
        <v>43402</v>
      </c>
      <c r="I132" s="4">
        <f t="shared" si="2"/>
        <v>737834</v>
      </c>
    </row>
    <row r="133" spans="1:9" x14ac:dyDescent="0.3">
      <c r="A133" s="1">
        <v>132</v>
      </c>
      <c r="B133" s="2" t="s">
        <v>144</v>
      </c>
      <c r="C133" s="3">
        <v>45058</v>
      </c>
      <c r="D133" s="4" t="s">
        <v>7</v>
      </c>
      <c r="E133" s="4" t="s">
        <v>1040</v>
      </c>
      <c r="F133" s="4" t="s">
        <v>1022</v>
      </c>
      <c r="G133" s="4">
        <v>7</v>
      </c>
      <c r="H133" s="4">
        <v>62727</v>
      </c>
      <c r="I133" s="4">
        <f t="shared" si="2"/>
        <v>439089</v>
      </c>
    </row>
    <row r="134" spans="1:9" x14ac:dyDescent="0.3">
      <c r="A134" s="1">
        <v>133</v>
      </c>
      <c r="B134" s="2" t="s">
        <v>145</v>
      </c>
      <c r="C134" s="3">
        <v>45059</v>
      </c>
      <c r="D134" s="4" t="s">
        <v>7</v>
      </c>
      <c r="E134" s="4" t="s">
        <v>1041</v>
      </c>
      <c r="F134" s="4" t="s">
        <v>1024</v>
      </c>
      <c r="G134" s="4">
        <v>4</v>
      </c>
      <c r="H134" s="4">
        <v>43578</v>
      </c>
      <c r="I134" s="4">
        <f t="shared" si="2"/>
        <v>174312</v>
      </c>
    </row>
    <row r="135" spans="1:9" x14ac:dyDescent="0.3">
      <c r="A135" s="1">
        <v>134</v>
      </c>
      <c r="B135" s="2" t="s">
        <v>146</v>
      </c>
      <c r="C135" s="3">
        <v>45060</v>
      </c>
      <c r="D135" s="4" t="s">
        <v>7</v>
      </c>
      <c r="E135" s="4" t="s">
        <v>9</v>
      </c>
      <c r="F135" s="4" t="s">
        <v>1022</v>
      </c>
      <c r="G135" s="4">
        <v>14</v>
      </c>
      <c r="H135" s="4">
        <v>27318</v>
      </c>
      <c r="I135" s="4">
        <f t="shared" si="2"/>
        <v>382452</v>
      </c>
    </row>
    <row r="136" spans="1:9" x14ac:dyDescent="0.3">
      <c r="A136" s="1">
        <v>135</v>
      </c>
      <c r="B136" s="2" t="s">
        <v>147</v>
      </c>
      <c r="C136" s="3">
        <v>45061</v>
      </c>
      <c r="D136" s="4" t="s">
        <v>1</v>
      </c>
      <c r="E136" s="4" t="s">
        <v>9</v>
      </c>
      <c r="F136" s="4" t="s">
        <v>1022</v>
      </c>
      <c r="G136" s="4">
        <v>15</v>
      </c>
      <c r="H136" s="4">
        <v>25466</v>
      </c>
      <c r="I136" s="4">
        <f t="shared" si="2"/>
        <v>381990</v>
      </c>
    </row>
    <row r="137" spans="1:9" x14ac:dyDescent="0.3">
      <c r="A137" s="1">
        <v>136</v>
      </c>
      <c r="B137" s="2" t="s">
        <v>148</v>
      </c>
      <c r="C137" s="3">
        <v>45062</v>
      </c>
      <c r="D137" s="4" t="s">
        <v>7</v>
      </c>
      <c r="E137" s="4" t="s">
        <v>1040</v>
      </c>
      <c r="F137" s="4" t="s">
        <v>1026</v>
      </c>
      <c r="G137" s="4">
        <v>8</v>
      </c>
      <c r="H137" s="4">
        <v>50475</v>
      </c>
      <c r="I137" s="4">
        <f t="shared" si="2"/>
        <v>403800</v>
      </c>
    </row>
    <row r="138" spans="1:9" x14ac:dyDescent="0.3">
      <c r="A138" s="1">
        <v>137</v>
      </c>
      <c r="B138" s="2" t="s">
        <v>149</v>
      </c>
      <c r="C138" s="3">
        <v>45063</v>
      </c>
      <c r="D138" s="4" t="s">
        <v>7</v>
      </c>
      <c r="E138" s="4" t="s">
        <v>9</v>
      </c>
      <c r="F138" s="4" t="s">
        <v>3</v>
      </c>
      <c r="G138" s="4">
        <v>15</v>
      </c>
      <c r="H138" s="4">
        <v>65142</v>
      </c>
      <c r="I138" s="4">
        <f t="shared" si="2"/>
        <v>977130</v>
      </c>
    </row>
    <row r="139" spans="1:9" x14ac:dyDescent="0.3">
      <c r="A139" s="1">
        <v>138</v>
      </c>
      <c r="B139" s="2" t="s">
        <v>150</v>
      </c>
      <c r="C139" s="3">
        <v>45064</v>
      </c>
      <c r="D139" s="4" t="s">
        <v>7</v>
      </c>
      <c r="E139" s="4" t="s">
        <v>1040</v>
      </c>
      <c r="F139" s="4" t="s">
        <v>1024</v>
      </c>
      <c r="G139" s="4">
        <v>14</v>
      </c>
      <c r="H139" s="4">
        <v>31564</v>
      </c>
      <c r="I139" s="4">
        <f t="shared" si="2"/>
        <v>441896</v>
      </c>
    </row>
    <row r="140" spans="1:9" x14ac:dyDescent="0.3">
      <c r="A140" s="1">
        <v>139</v>
      </c>
      <c r="B140" s="2" t="s">
        <v>151</v>
      </c>
      <c r="C140" s="3">
        <v>45065</v>
      </c>
      <c r="D140" s="4" t="s">
        <v>1</v>
      </c>
      <c r="E140" s="4" t="s">
        <v>1040</v>
      </c>
      <c r="F140" s="4" t="s">
        <v>15</v>
      </c>
      <c r="G140" s="4">
        <v>9</v>
      </c>
      <c r="H140" s="4">
        <v>27412</v>
      </c>
      <c r="I140" s="4">
        <f t="shared" si="2"/>
        <v>246708</v>
      </c>
    </row>
    <row r="141" spans="1:9" x14ac:dyDescent="0.3">
      <c r="A141" s="1">
        <v>140</v>
      </c>
      <c r="B141" s="2" t="s">
        <v>152</v>
      </c>
      <c r="C141" s="3">
        <v>45066</v>
      </c>
      <c r="D141" s="4" t="s">
        <v>7</v>
      </c>
      <c r="E141" s="4" t="s">
        <v>1041</v>
      </c>
      <c r="F141" s="4" t="s">
        <v>15</v>
      </c>
      <c r="G141" s="4">
        <v>8</v>
      </c>
      <c r="H141" s="4">
        <v>56001</v>
      </c>
      <c r="I141" s="4">
        <f t="shared" si="2"/>
        <v>448008</v>
      </c>
    </row>
    <row r="142" spans="1:9" x14ac:dyDescent="0.3">
      <c r="A142" s="1">
        <v>141</v>
      </c>
      <c r="B142" s="2" t="s">
        <v>153</v>
      </c>
      <c r="C142" s="3">
        <v>45067</v>
      </c>
      <c r="D142" s="4" t="s">
        <v>5</v>
      </c>
      <c r="E142" s="4" t="s">
        <v>1041</v>
      </c>
      <c r="F142" s="4" t="s">
        <v>1022</v>
      </c>
      <c r="G142" s="4">
        <v>17</v>
      </c>
      <c r="H142" s="4">
        <v>62649</v>
      </c>
      <c r="I142" s="4">
        <f t="shared" si="2"/>
        <v>1065033</v>
      </c>
    </row>
    <row r="143" spans="1:9" x14ac:dyDescent="0.3">
      <c r="A143" s="1">
        <v>142</v>
      </c>
      <c r="B143" s="2" t="s">
        <v>154</v>
      </c>
      <c r="C143" s="3">
        <v>45068</v>
      </c>
      <c r="D143" s="4" t="s">
        <v>7</v>
      </c>
      <c r="E143" s="4" t="s">
        <v>1040</v>
      </c>
      <c r="F143" s="4" t="s">
        <v>1026</v>
      </c>
      <c r="G143" s="4">
        <v>2</v>
      </c>
      <c r="H143" s="4">
        <v>65957</v>
      </c>
      <c r="I143" s="4">
        <f t="shared" si="2"/>
        <v>131914</v>
      </c>
    </row>
    <row r="144" spans="1:9" x14ac:dyDescent="0.3">
      <c r="A144" s="1">
        <v>143</v>
      </c>
      <c r="B144" s="2" t="s">
        <v>155</v>
      </c>
      <c r="C144" s="3">
        <v>45069</v>
      </c>
      <c r="D144" s="4" t="s">
        <v>5</v>
      </c>
      <c r="E144" s="4" t="s">
        <v>1041</v>
      </c>
      <c r="F144" s="4" t="s">
        <v>1026</v>
      </c>
      <c r="G144" s="4">
        <v>3</v>
      </c>
      <c r="H144" s="4">
        <v>40517</v>
      </c>
      <c r="I144" s="4">
        <f t="shared" si="2"/>
        <v>121551</v>
      </c>
    </row>
    <row r="145" spans="1:9" x14ac:dyDescent="0.3">
      <c r="A145" s="1">
        <v>144</v>
      </c>
      <c r="B145" s="2" t="s">
        <v>156</v>
      </c>
      <c r="C145" s="3">
        <v>45070</v>
      </c>
      <c r="D145" s="4" t="s">
        <v>5</v>
      </c>
      <c r="E145" s="4" t="s">
        <v>9</v>
      </c>
      <c r="F145" s="4" t="s">
        <v>15</v>
      </c>
      <c r="G145" s="4">
        <v>8</v>
      </c>
      <c r="H145" s="4">
        <v>18156</v>
      </c>
      <c r="I145" s="4">
        <f t="shared" si="2"/>
        <v>145248</v>
      </c>
    </row>
    <row r="146" spans="1:9" x14ac:dyDescent="0.3">
      <c r="A146" s="1">
        <v>145</v>
      </c>
      <c r="B146" s="2" t="s">
        <v>157</v>
      </c>
      <c r="C146" s="3">
        <v>45071</v>
      </c>
      <c r="D146" s="4" t="s">
        <v>5</v>
      </c>
      <c r="E146" s="4" t="s">
        <v>20</v>
      </c>
      <c r="F146" s="4" t="s">
        <v>1024</v>
      </c>
      <c r="G146" s="4">
        <v>12</v>
      </c>
      <c r="H146" s="4">
        <v>28064</v>
      </c>
      <c r="I146" s="4">
        <f t="shared" si="2"/>
        <v>336768</v>
      </c>
    </row>
    <row r="147" spans="1:9" x14ac:dyDescent="0.3">
      <c r="A147" s="1">
        <v>146</v>
      </c>
      <c r="B147" s="2" t="s">
        <v>158</v>
      </c>
      <c r="C147" s="3">
        <v>45072</v>
      </c>
      <c r="D147" s="4" t="s">
        <v>1</v>
      </c>
      <c r="E147" s="4" t="s">
        <v>1040</v>
      </c>
      <c r="F147" s="4" t="s">
        <v>3</v>
      </c>
      <c r="G147" s="4">
        <v>1</v>
      </c>
      <c r="H147" s="4">
        <v>30711</v>
      </c>
      <c r="I147" s="4">
        <f t="shared" si="2"/>
        <v>30711</v>
      </c>
    </row>
    <row r="148" spans="1:9" x14ac:dyDescent="0.3">
      <c r="A148" s="1">
        <v>147</v>
      </c>
      <c r="B148" s="2" t="s">
        <v>159</v>
      </c>
      <c r="C148" s="3">
        <v>45073</v>
      </c>
      <c r="D148" s="4" t="s">
        <v>1</v>
      </c>
      <c r="E148" s="4" t="s">
        <v>1041</v>
      </c>
      <c r="F148" s="4" t="s">
        <v>1024</v>
      </c>
      <c r="G148" s="4">
        <v>10</v>
      </c>
      <c r="H148" s="4">
        <v>35106</v>
      </c>
      <c r="I148" s="4">
        <f t="shared" si="2"/>
        <v>351060</v>
      </c>
    </row>
    <row r="149" spans="1:9" x14ac:dyDescent="0.3">
      <c r="A149" s="1">
        <v>148</v>
      </c>
      <c r="B149" s="2" t="s">
        <v>160</v>
      </c>
      <c r="C149" s="3">
        <v>45074</v>
      </c>
      <c r="D149" s="4" t="s">
        <v>1</v>
      </c>
      <c r="E149" s="4" t="s">
        <v>1040</v>
      </c>
      <c r="F149" s="4" t="s">
        <v>21</v>
      </c>
      <c r="G149" s="4">
        <v>3</v>
      </c>
      <c r="H149" s="4">
        <v>70458</v>
      </c>
      <c r="I149" s="4">
        <f t="shared" si="2"/>
        <v>211374</v>
      </c>
    </row>
    <row r="150" spans="1:9" x14ac:dyDescent="0.3">
      <c r="A150" s="1">
        <v>149</v>
      </c>
      <c r="B150" s="2" t="s">
        <v>161</v>
      </c>
      <c r="C150" s="3">
        <v>45075</v>
      </c>
      <c r="D150" s="4" t="s">
        <v>7</v>
      </c>
      <c r="E150" s="4" t="s">
        <v>1040</v>
      </c>
      <c r="F150" s="4" t="s">
        <v>21</v>
      </c>
      <c r="G150" s="4">
        <v>6</v>
      </c>
      <c r="H150" s="4">
        <v>21589</v>
      </c>
      <c r="I150" s="4">
        <f t="shared" si="2"/>
        <v>129534</v>
      </c>
    </row>
    <row r="151" spans="1:9" x14ac:dyDescent="0.3">
      <c r="A151" s="1">
        <v>150</v>
      </c>
      <c r="B151" s="2" t="s">
        <v>162</v>
      </c>
      <c r="C151" s="3">
        <v>45076</v>
      </c>
      <c r="D151" s="4" t="s">
        <v>5</v>
      </c>
      <c r="E151" s="4" t="s">
        <v>20</v>
      </c>
      <c r="F151" s="4" t="s">
        <v>3</v>
      </c>
      <c r="G151" s="4">
        <v>7</v>
      </c>
      <c r="H151" s="4">
        <v>12214</v>
      </c>
      <c r="I151" s="4">
        <f t="shared" si="2"/>
        <v>85498</v>
      </c>
    </row>
    <row r="152" spans="1:9" x14ac:dyDescent="0.3">
      <c r="A152" s="1">
        <v>151</v>
      </c>
      <c r="B152" s="2" t="s">
        <v>163</v>
      </c>
      <c r="C152" s="3">
        <v>45077</v>
      </c>
      <c r="D152" s="4" t="s">
        <v>1</v>
      </c>
      <c r="E152" s="4" t="s">
        <v>9</v>
      </c>
      <c r="F152" s="4" t="s">
        <v>15</v>
      </c>
      <c r="G152" s="4">
        <v>18</v>
      </c>
      <c r="H152" s="4">
        <v>32127</v>
      </c>
      <c r="I152" s="4">
        <f t="shared" si="2"/>
        <v>578286</v>
      </c>
    </row>
    <row r="153" spans="1:9" x14ac:dyDescent="0.3">
      <c r="A153" s="1">
        <v>152</v>
      </c>
      <c r="B153" s="2" t="s">
        <v>164</v>
      </c>
      <c r="C153" s="3">
        <v>45078</v>
      </c>
      <c r="D153" s="4" t="s">
        <v>1</v>
      </c>
      <c r="E153" s="4" t="s">
        <v>1040</v>
      </c>
      <c r="F153" s="4" t="s">
        <v>3</v>
      </c>
      <c r="G153" s="4">
        <v>11</v>
      </c>
      <c r="H153" s="4">
        <v>10141</v>
      </c>
      <c r="I153" s="4">
        <f t="shared" si="2"/>
        <v>111551</v>
      </c>
    </row>
    <row r="154" spans="1:9" x14ac:dyDescent="0.3">
      <c r="A154" s="1">
        <v>153</v>
      </c>
      <c r="B154" s="2" t="s">
        <v>165</v>
      </c>
      <c r="C154" s="3">
        <v>45079</v>
      </c>
      <c r="D154" s="4" t="s">
        <v>7</v>
      </c>
      <c r="E154" s="4" t="s">
        <v>1041</v>
      </c>
      <c r="F154" s="4" t="s">
        <v>1026</v>
      </c>
      <c r="G154" s="4">
        <v>19</v>
      </c>
      <c r="H154" s="4">
        <v>33884</v>
      </c>
      <c r="I154" s="4">
        <f t="shared" si="2"/>
        <v>643796</v>
      </c>
    </row>
    <row r="155" spans="1:9" x14ac:dyDescent="0.3">
      <c r="A155" s="1">
        <v>154</v>
      </c>
      <c r="B155" s="2" t="s">
        <v>166</v>
      </c>
      <c r="C155" s="3">
        <v>45080</v>
      </c>
      <c r="D155" s="4" t="s">
        <v>1</v>
      </c>
      <c r="E155" s="4" t="s">
        <v>1040</v>
      </c>
      <c r="F155" s="4" t="s">
        <v>21</v>
      </c>
      <c r="G155" s="4">
        <v>5</v>
      </c>
      <c r="H155" s="4">
        <v>7708</v>
      </c>
      <c r="I155" s="4">
        <f t="shared" si="2"/>
        <v>38540</v>
      </c>
    </row>
    <row r="156" spans="1:9" x14ac:dyDescent="0.3">
      <c r="A156" s="1">
        <v>155</v>
      </c>
      <c r="B156" s="2" t="s">
        <v>167</v>
      </c>
      <c r="C156" s="3">
        <v>45081</v>
      </c>
      <c r="D156" s="4" t="s">
        <v>7</v>
      </c>
      <c r="E156" s="4" t="s">
        <v>1040</v>
      </c>
      <c r="F156" s="4" t="s">
        <v>1022</v>
      </c>
      <c r="G156" s="4">
        <v>19</v>
      </c>
      <c r="H156" s="4">
        <v>23375</v>
      </c>
      <c r="I156" s="4">
        <f t="shared" si="2"/>
        <v>444125</v>
      </c>
    </row>
    <row r="157" spans="1:9" x14ac:dyDescent="0.3">
      <c r="A157" s="1">
        <v>156</v>
      </c>
      <c r="B157" s="2" t="s">
        <v>168</v>
      </c>
      <c r="C157" s="3">
        <v>45082</v>
      </c>
      <c r="D157" s="4" t="s">
        <v>19</v>
      </c>
      <c r="E157" s="4" t="s">
        <v>1040</v>
      </c>
      <c r="F157" s="4" t="s">
        <v>1022</v>
      </c>
      <c r="G157" s="4">
        <v>11</v>
      </c>
      <c r="H157" s="4">
        <v>20088</v>
      </c>
      <c r="I157" s="4">
        <f t="shared" si="2"/>
        <v>220968</v>
      </c>
    </row>
    <row r="158" spans="1:9" x14ac:dyDescent="0.3">
      <c r="A158" s="1">
        <v>157</v>
      </c>
      <c r="B158" s="2" t="s">
        <v>169</v>
      </c>
      <c r="C158" s="3">
        <v>45083</v>
      </c>
      <c r="D158" s="4" t="s">
        <v>1</v>
      </c>
      <c r="E158" s="4" t="s">
        <v>2</v>
      </c>
      <c r="F158" s="4" t="s">
        <v>15</v>
      </c>
      <c r="G158" s="4">
        <v>12</v>
      </c>
      <c r="H158" s="4">
        <v>62615</v>
      </c>
      <c r="I158" s="4">
        <f t="shared" si="2"/>
        <v>751380</v>
      </c>
    </row>
    <row r="159" spans="1:9" x14ac:dyDescent="0.3">
      <c r="A159" s="1">
        <v>158</v>
      </c>
      <c r="B159" s="2" t="s">
        <v>170</v>
      </c>
      <c r="C159" s="3">
        <v>45084</v>
      </c>
      <c r="D159" s="4" t="s">
        <v>19</v>
      </c>
      <c r="E159" s="4" t="s">
        <v>9</v>
      </c>
      <c r="F159" s="4" t="s">
        <v>1026</v>
      </c>
      <c r="G159" s="4">
        <v>10</v>
      </c>
      <c r="H159" s="4">
        <v>50046</v>
      </c>
      <c r="I159" s="4">
        <f t="shared" si="2"/>
        <v>500460</v>
      </c>
    </row>
    <row r="160" spans="1:9" x14ac:dyDescent="0.3">
      <c r="A160" s="1">
        <v>159</v>
      </c>
      <c r="B160" s="2" t="s">
        <v>171</v>
      </c>
      <c r="C160" s="3">
        <v>45085</v>
      </c>
      <c r="D160" s="4" t="s">
        <v>7</v>
      </c>
      <c r="E160" s="4" t="s">
        <v>1040</v>
      </c>
      <c r="F160" s="4" t="s">
        <v>1024</v>
      </c>
      <c r="G160" s="4">
        <v>8</v>
      </c>
      <c r="H160" s="4">
        <v>15014</v>
      </c>
      <c r="I160" s="4">
        <f t="shared" si="2"/>
        <v>120112</v>
      </c>
    </row>
    <row r="161" spans="1:9" x14ac:dyDescent="0.3">
      <c r="A161" s="1">
        <v>160</v>
      </c>
      <c r="B161" s="2" t="s">
        <v>172</v>
      </c>
      <c r="C161" s="3">
        <v>45086</v>
      </c>
      <c r="D161" s="4" t="s">
        <v>5</v>
      </c>
      <c r="E161" s="4" t="s">
        <v>1041</v>
      </c>
      <c r="F161" s="4" t="s">
        <v>1026</v>
      </c>
      <c r="G161" s="4">
        <v>9</v>
      </c>
      <c r="H161" s="4">
        <v>69425</v>
      </c>
      <c r="I161" s="4">
        <f t="shared" si="2"/>
        <v>624825</v>
      </c>
    </row>
    <row r="162" spans="1:9" x14ac:dyDescent="0.3">
      <c r="A162" s="1">
        <v>161</v>
      </c>
      <c r="B162" s="2" t="s">
        <v>173</v>
      </c>
      <c r="C162" s="3">
        <v>45087</v>
      </c>
      <c r="D162" s="4" t="s">
        <v>1</v>
      </c>
      <c r="E162" s="4" t="s">
        <v>1040</v>
      </c>
      <c r="F162" s="4" t="s">
        <v>1022</v>
      </c>
      <c r="G162" s="4">
        <v>4</v>
      </c>
      <c r="H162" s="4">
        <v>8273</v>
      </c>
      <c r="I162" s="4">
        <f t="shared" si="2"/>
        <v>33092</v>
      </c>
    </row>
    <row r="163" spans="1:9" x14ac:dyDescent="0.3">
      <c r="A163" s="1">
        <v>162</v>
      </c>
      <c r="B163" s="2" t="s">
        <v>174</v>
      </c>
      <c r="C163" s="3">
        <v>45088</v>
      </c>
      <c r="D163" s="4" t="s">
        <v>7</v>
      </c>
      <c r="E163" s="4" t="s">
        <v>1041</v>
      </c>
      <c r="F163" s="4" t="s">
        <v>1022</v>
      </c>
      <c r="G163" s="4">
        <v>5</v>
      </c>
      <c r="H163" s="4">
        <v>52135</v>
      </c>
      <c r="I163" s="4">
        <f t="shared" si="2"/>
        <v>260675</v>
      </c>
    </row>
    <row r="164" spans="1:9" x14ac:dyDescent="0.3">
      <c r="A164" s="1">
        <v>163</v>
      </c>
      <c r="B164" s="2" t="s">
        <v>175</v>
      </c>
      <c r="C164" s="3">
        <v>45089</v>
      </c>
      <c r="D164" s="4" t="s">
        <v>5</v>
      </c>
      <c r="E164" s="4" t="s">
        <v>9</v>
      </c>
      <c r="F164" s="4" t="s">
        <v>21</v>
      </c>
      <c r="G164" s="4">
        <v>8</v>
      </c>
      <c r="H164" s="4">
        <v>35881</v>
      </c>
      <c r="I164" s="4">
        <f t="shared" si="2"/>
        <v>287048</v>
      </c>
    </row>
    <row r="165" spans="1:9" x14ac:dyDescent="0.3">
      <c r="A165" s="1">
        <v>164</v>
      </c>
      <c r="B165" s="2" t="s">
        <v>176</v>
      </c>
      <c r="C165" s="3">
        <v>45090</v>
      </c>
      <c r="D165" s="4" t="s">
        <v>5</v>
      </c>
      <c r="E165" s="4" t="s">
        <v>1041</v>
      </c>
      <c r="F165" s="4" t="s">
        <v>1026</v>
      </c>
      <c r="G165" s="4">
        <v>9</v>
      </c>
      <c r="H165" s="4">
        <v>13712</v>
      </c>
      <c r="I165" s="4">
        <f t="shared" si="2"/>
        <v>123408</v>
      </c>
    </row>
    <row r="166" spans="1:9" x14ac:dyDescent="0.3">
      <c r="A166" s="1">
        <v>165</v>
      </c>
      <c r="B166" s="2" t="s">
        <v>177</v>
      </c>
      <c r="C166" s="3">
        <v>45091</v>
      </c>
      <c r="D166" s="4" t="s">
        <v>19</v>
      </c>
      <c r="E166" s="4" t="s">
        <v>20</v>
      </c>
      <c r="F166" s="4" t="s">
        <v>1026</v>
      </c>
      <c r="G166" s="4">
        <v>15</v>
      </c>
      <c r="H166" s="4">
        <v>57874</v>
      </c>
      <c r="I166" s="4">
        <f t="shared" si="2"/>
        <v>868110</v>
      </c>
    </row>
    <row r="167" spans="1:9" x14ac:dyDescent="0.3">
      <c r="A167" s="1">
        <v>166</v>
      </c>
      <c r="B167" s="2" t="s">
        <v>178</v>
      </c>
      <c r="C167" s="3">
        <v>45092</v>
      </c>
      <c r="D167" s="4" t="s">
        <v>7</v>
      </c>
      <c r="E167" s="4" t="s">
        <v>20</v>
      </c>
      <c r="F167" s="4" t="s">
        <v>1022</v>
      </c>
      <c r="G167" s="4">
        <v>15</v>
      </c>
      <c r="H167" s="4">
        <v>74087</v>
      </c>
      <c r="I167" s="4">
        <f t="shared" si="2"/>
        <v>1111305</v>
      </c>
    </row>
    <row r="168" spans="1:9" x14ac:dyDescent="0.3">
      <c r="A168" s="1">
        <v>167</v>
      </c>
      <c r="B168" s="2" t="s">
        <v>179</v>
      </c>
      <c r="C168" s="3">
        <v>45093</v>
      </c>
      <c r="D168" s="4" t="s">
        <v>5</v>
      </c>
      <c r="E168" s="4" t="s">
        <v>20</v>
      </c>
      <c r="F168" s="4" t="s">
        <v>1024</v>
      </c>
      <c r="G168" s="4">
        <v>16</v>
      </c>
      <c r="H168" s="4">
        <v>17297</v>
      </c>
      <c r="I168" s="4">
        <f t="shared" si="2"/>
        <v>276752</v>
      </c>
    </row>
    <row r="169" spans="1:9" x14ac:dyDescent="0.3">
      <c r="A169" s="1">
        <v>168</v>
      </c>
      <c r="B169" s="2" t="s">
        <v>180</v>
      </c>
      <c r="C169" s="3">
        <v>45094</v>
      </c>
      <c r="D169" s="4" t="s">
        <v>1</v>
      </c>
      <c r="E169" s="4" t="s">
        <v>20</v>
      </c>
      <c r="F169" s="4" t="s">
        <v>15</v>
      </c>
      <c r="G169" s="4">
        <v>14</v>
      </c>
      <c r="H169" s="4">
        <v>32128</v>
      </c>
      <c r="I169" s="4">
        <f t="shared" si="2"/>
        <v>449792</v>
      </c>
    </row>
    <row r="170" spans="1:9" x14ac:dyDescent="0.3">
      <c r="A170" s="1">
        <v>169</v>
      </c>
      <c r="B170" s="2" t="s">
        <v>181</v>
      </c>
      <c r="C170" s="3">
        <v>45095</v>
      </c>
      <c r="D170" s="4" t="s">
        <v>1</v>
      </c>
      <c r="E170" s="4" t="s">
        <v>1040</v>
      </c>
      <c r="F170" s="4" t="s">
        <v>15</v>
      </c>
      <c r="G170" s="4">
        <v>8</v>
      </c>
      <c r="H170" s="4">
        <v>73368</v>
      </c>
      <c r="I170" s="4">
        <f t="shared" si="2"/>
        <v>586944</v>
      </c>
    </row>
    <row r="171" spans="1:9" x14ac:dyDescent="0.3">
      <c r="A171" s="1">
        <v>170</v>
      </c>
      <c r="B171" s="2" t="s">
        <v>182</v>
      </c>
      <c r="C171" s="3">
        <v>45096</v>
      </c>
      <c r="D171" s="4" t="s">
        <v>19</v>
      </c>
      <c r="E171" s="4" t="s">
        <v>9</v>
      </c>
      <c r="F171" s="4" t="s">
        <v>1026</v>
      </c>
      <c r="G171" s="4">
        <v>18</v>
      </c>
      <c r="H171" s="4">
        <v>37920</v>
      </c>
      <c r="I171" s="4">
        <f t="shared" si="2"/>
        <v>682560</v>
      </c>
    </row>
    <row r="172" spans="1:9" x14ac:dyDescent="0.3">
      <c r="A172" s="1">
        <v>171</v>
      </c>
      <c r="B172" s="2" t="s">
        <v>183</v>
      </c>
      <c r="C172" s="3">
        <v>45097</v>
      </c>
      <c r="D172" s="4" t="s">
        <v>5</v>
      </c>
      <c r="E172" s="4" t="s">
        <v>1041</v>
      </c>
      <c r="F172" s="4" t="s">
        <v>15</v>
      </c>
      <c r="G172" s="4">
        <v>10</v>
      </c>
      <c r="H172" s="4">
        <v>16156</v>
      </c>
      <c r="I172" s="4">
        <f t="shared" si="2"/>
        <v>161560</v>
      </c>
    </row>
    <row r="173" spans="1:9" x14ac:dyDescent="0.3">
      <c r="A173" s="1">
        <v>172</v>
      </c>
      <c r="B173" s="2" t="s">
        <v>184</v>
      </c>
      <c r="C173" s="3">
        <v>45098</v>
      </c>
      <c r="D173" s="4" t="s">
        <v>7</v>
      </c>
      <c r="E173" s="4" t="s">
        <v>1041</v>
      </c>
      <c r="F173" s="4" t="s">
        <v>1022</v>
      </c>
      <c r="G173" s="4">
        <v>6</v>
      </c>
      <c r="H173" s="4">
        <v>16108</v>
      </c>
      <c r="I173" s="4">
        <f t="shared" si="2"/>
        <v>96648</v>
      </c>
    </row>
    <row r="174" spans="1:9" x14ac:dyDescent="0.3">
      <c r="A174" s="1">
        <v>173</v>
      </c>
      <c r="B174" s="2" t="s">
        <v>185</v>
      </c>
      <c r="C174" s="3">
        <v>45099</v>
      </c>
      <c r="D174" s="4" t="s">
        <v>1</v>
      </c>
      <c r="E174" s="4" t="s">
        <v>20</v>
      </c>
      <c r="F174" s="4" t="s">
        <v>1022</v>
      </c>
      <c r="G174" s="4">
        <v>12</v>
      </c>
      <c r="H174" s="4">
        <v>36845</v>
      </c>
      <c r="I174" s="4">
        <f t="shared" si="2"/>
        <v>442140</v>
      </c>
    </row>
    <row r="175" spans="1:9" x14ac:dyDescent="0.3">
      <c r="A175" s="1">
        <v>174</v>
      </c>
      <c r="B175" s="2" t="s">
        <v>186</v>
      </c>
      <c r="C175" s="3">
        <v>45100</v>
      </c>
      <c r="D175" s="4" t="s">
        <v>5</v>
      </c>
      <c r="E175" s="4" t="s">
        <v>20</v>
      </c>
      <c r="F175" s="4" t="s">
        <v>1026</v>
      </c>
      <c r="G175" s="4">
        <v>2</v>
      </c>
      <c r="H175" s="4">
        <v>7800</v>
      </c>
      <c r="I175" s="4">
        <f t="shared" si="2"/>
        <v>15600</v>
      </c>
    </row>
    <row r="176" spans="1:9" x14ac:dyDescent="0.3">
      <c r="A176" s="1">
        <v>175</v>
      </c>
      <c r="B176" s="2" t="s">
        <v>187</v>
      </c>
      <c r="C176" s="3">
        <v>45101</v>
      </c>
      <c r="D176" s="4" t="s">
        <v>5</v>
      </c>
      <c r="E176" s="4" t="s">
        <v>1040</v>
      </c>
      <c r="F176" s="4" t="s">
        <v>1026</v>
      </c>
      <c r="G176" s="4">
        <v>7</v>
      </c>
      <c r="H176" s="4">
        <v>47712</v>
      </c>
      <c r="I176" s="4">
        <f t="shared" si="2"/>
        <v>333984</v>
      </c>
    </row>
    <row r="177" spans="1:9" x14ac:dyDescent="0.3">
      <c r="A177" s="1">
        <v>176</v>
      </c>
      <c r="B177" s="2" t="s">
        <v>188</v>
      </c>
      <c r="C177" s="3">
        <v>45102</v>
      </c>
      <c r="D177" s="4" t="s">
        <v>19</v>
      </c>
      <c r="E177" s="4" t="s">
        <v>9</v>
      </c>
      <c r="F177" s="4" t="s">
        <v>21</v>
      </c>
      <c r="G177" s="4">
        <v>16</v>
      </c>
      <c r="H177" s="4">
        <v>7610</v>
      </c>
      <c r="I177" s="4">
        <f t="shared" si="2"/>
        <v>121760</v>
      </c>
    </row>
    <row r="178" spans="1:9" x14ac:dyDescent="0.3">
      <c r="A178" s="1">
        <v>177</v>
      </c>
      <c r="B178" s="2" t="s">
        <v>189</v>
      </c>
      <c r="C178" s="3">
        <v>45103</v>
      </c>
      <c r="D178" s="4" t="s">
        <v>1</v>
      </c>
      <c r="E178" s="4" t="s">
        <v>1040</v>
      </c>
      <c r="F178" s="4" t="s">
        <v>1026</v>
      </c>
      <c r="G178" s="4">
        <v>3</v>
      </c>
      <c r="H178" s="4">
        <v>38872</v>
      </c>
      <c r="I178" s="4">
        <f t="shared" si="2"/>
        <v>116616</v>
      </c>
    </row>
    <row r="179" spans="1:9" x14ac:dyDescent="0.3">
      <c r="A179" s="1">
        <v>178</v>
      </c>
      <c r="B179" s="2" t="s">
        <v>190</v>
      </c>
      <c r="C179" s="3">
        <v>45104</v>
      </c>
      <c r="D179" s="4" t="s">
        <v>1</v>
      </c>
      <c r="E179" s="4" t="s">
        <v>1041</v>
      </c>
      <c r="F179" s="4" t="s">
        <v>1024</v>
      </c>
      <c r="G179" s="4">
        <v>13</v>
      </c>
      <c r="H179" s="4">
        <v>15728</v>
      </c>
      <c r="I179" s="4">
        <f t="shared" si="2"/>
        <v>204464</v>
      </c>
    </row>
    <row r="180" spans="1:9" x14ac:dyDescent="0.3">
      <c r="A180" s="1">
        <v>179</v>
      </c>
      <c r="B180" s="2" t="s">
        <v>191</v>
      </c>
      <c r="C180" s="3">
        <v>45105</v>
      </c>
      <c r="D180" s="4" t="s">
        <v>7</v>
      </c>
      <c r="E180" s="4" t="s">
        <v>2</v>
      </c>
      <c r="F180" s="4" t="s">
        <v>15</v>
      </c>
      <c r="G180" s="4">
        <v>3</v>
      </c>
      <c r="H180" s="4">
        <v>25583</v>
      </c>
      <c r="I180" s="4">
        <f t="shared" si="2"/>
        <v>76749</v>
      </c>
    </row>
    <row r="181" spans="1:9" x14ac:dyDescent="0.3">
      <c r="A181" s="1">
        <v>180</v>
      </c>
      <c r="B181" s="2" t="s">
        <v>192</v>
      </c>
      <c r="C181" s="3">
        <v>45106</v>
      </c>
      <c r="D181" s="4" t="s">
        <v>1</v>
      </c>
      <c r="E181" s="4" t="s">
        <v>2</v>
      </c>
      <c r="F181" s="4" t="s">
        <v>1026</v>
      </c>
      <c r="G181" s="4">
        <v>18</v>
      </c>
      <c r="H181" s="4">
        <v>12263</v>
      </c>
      <c r="I181" s="4">
        <f t="shared" si="2"/>
        <v>220734</v>
      </c>
    </row>
    <row r="182" spans="1:9" x14ac:dyDescent="0.3">
      <c r="A182" s="1">
        <v>181</v>
      </c>
      <c r="B182" s="2" t="s">
        <v>193</v>
      </c>
      <c r="C182" s="3">
        <v>45107</v>
      </c>
      <c r="D182" s="4" t="s">
        <v>7</v>
      </c>
      <c r="E182" s="4" t="s">
        <v>1041</v>
      </c>
      <c r="F182" s="4" t="s">
        <v>3</v>
      </c>
      <c r="G182" s="4">
        <v>11</v>
      </c>
      <c r="H182" s="4">
        <v>72450</v>
      </c>
      <c r="I182" s="4">
        <f t="shared" si="2"/>
        <v>796950</v>
      </c>
    </row>
    <row r="183" spans="1:9" x14ac:dyDescent="0.3">
      <c r="A183" s="1">
        <v>182</v>
      </c>
      <c r="B183" s="2" t="s">
        <v>194</v>
      </c>
      <c r="C183" s="3">
        <v>45108</v>
      </c>
      <c r="D183" s="4" t="s">
        <v>1</v>
      </c>
      <c r="E183" s="4" t="s">
        <v>1040</v>
      </c>
      <c r="F183" s="4" t="s">
        <v>21</v>
      </c>
      <c r="G183" s="4">
        <v>8</v>
      </c>
      <c r="H183" s="4">
        <v>24456</v>
      </c>
      <c r="I183" s="4">
        <f t="shared" si="2"/>
        <v>195648</v>
      </c>
    </row>
    <row r="184" spans="1:9" x14ac:dyDescent="0.3">
      <c r="A184" s="1">
        <v>183</v>
      </c>
      <c r="B184" s="2" t="s">
        <v>195</v>
      </c>
      <c r="C184" s="3">
        <v>45109</v>
      </c>
      <c r="D184" s="4" t="s">
        <v>19</v>
      </c>
      <c r="E184" s="4" t="s">
        <v>2</v>
      </c>
      <c r="F184" s="4" t="s">
        <v>3</v>
      </c>
      <c r="G184" s="4">
        <v>6</v>
      </c>
      <c r="H184" s="4">
        <v>70942</v>
      </c>
      <c r="I184" s="4">
        <f t="shared" si="2"/>
        <v>425652</v>
      </c>
    </row>
    <row r="185" spans="1:9" x14ac:dyDescent="0.3">
      <c r="A185" s="1">
        <v>184</v>
      </c>
      <c r="B185" s="2" t="s">
        <v>196</v>
      </c>
      <c r="C185" s="3">
        <v>45110</v>
      </c>
      <c r="D185" s="4" t="s">
        <v>1</v>
      </c>
      <c r="E185" s="4" t="s">
        <v>2</v>
      </c>
      <c r="F185" s="4" t="s">
        <v>1022</v>
      </c>
      <c r="G185" s="4">
        <v>1</v>
      </c>
      <c r="H185" s="4">
        <v>18689</v>
      </c>
      <c r="I185" s="4">
        <f t="shared" si="2"/>
        <v>18689</v>
      </c>
    </row>
    <row r="186" spans="1:9" x14ac:dyDescent="0.3">
      <c r="A186" s="1">
        <v>185</v>
      </c>
      <c r="B186" s="2" t="s">
        <v>197</v>
      </c>
      <c r="C186" s="3">
        <v>45111</v>
      </c>
      <c r="D186" s="4" t="s">
        <v>7</v>
      </c>
      <c r="E186" s="4" t="s">
        <v>9</v>
      </c>
      <c r="F186" s="4" t="s">
        <v>15</v>
      </c>
      <c r="G186" s="4">
        <v>1</v>
      </c>
      <c r="H186" s="4">
        <v>37934</v>
      </c>
      <c r="I186" s="4">
        <f t="shared" si="2"/>
        <v>37934</v>
      </c>
    </row>
    <row r="187" spans="1:9" x14ac:dyDescent="0.3">
      <c r="A187" s="1">
        <v>186</v>
      </c>
      <c r="B187" s="2" t="s">
        <v>198</v>
      </c>
      <c r="C187" s="3">
        <v>45112</v>
      </c>
      <c r="D187" s="4" t="s">
        <v>7</v>
      </c>
      <c r="E187" s="4" t="s">
        <v>1040</v>
      </c>
      <c r="F187" s="4" t="s">
        <v>1026</v>
      </c>
      <c r="G187" s="4">
        <v>8</v>
      </c>
      <c r="H187" s="4">
        <v>38276</v>
      </c>
      <c r="I187" s="4">
        <f t="shared" si="2"/>
        <v>306208</v>
      </c>
    </row>
    <row r="188" spans="1:9" x14ac:dyDescent="0.3">
      <c r="A188" s="1">
        <v>187</v>
      </c>
      <c r="B188" s="2" t="s">
        <v>199</v>
      </c>
      <c r="C188" s="3">
        <v>45113</v>
      </c>
      <c r="D188" s="4" t="s">
        <v>19</v>
      </c>
      <c r="E188" s="4" t="s">
        <v>2</v>
      </c>
      <c r="F188" s="4" t="s">
        <v>3</v>
      </c>
      <c r="G188" s="4">
        <v>5</v>
      </c>
      <c r="H188" s="4">
        <v>24873</v>
      </c>
      <c r="I188" s="4">
        <f t="shared" si="2"/>
        <v>124365</v>
      </c>
    </row>
    <row r="189" spans="1:9" x14ac:dyDescent="0.3">
      <c r="A189" s="1">
        <v>188</v>
      </c>
      <c r="B189" s="2" t="s">
        <v>200</v>
      </c>
      <c r="C189" s="3">
        <v>45114</v>
      </c>
      <c r="D189" s="4" t="s">
        <v>1</v>
      </c>
      <c r="E189" s="4" t="s">
        <v>1040</v>
      </c>
      <c r="F189" s="4" t="s">
        <v>15</v>
      </c>
      <c r="G189" s="4">
        <v>16</v>
      </c>
      <c r="H189" s="4">
        <v>18050</v>
      </c>
      <c r="I189" s="4">
        <f t="shared" si="2"/>
        <v>288800</v>
      </c>
    </row>
    <row r="190" spans="1:9" x14ac:dyDescent="0.3">
      <c r="A190" s="1">
        <v>189</v>
      </c>
      <c r="B190" s="2" t="s">
        <v>201</v>
      </c>
      <c r="C190" s="3">
        <v>45115</v>
      </c>
      <c r="D190" s="4" t="s">
        <v>1</v>
      </c>
      <c r="E190" s="4" t="s">
        <v>24</v>
      </c>
      <c r="F190" s="4" t="s">
        <v>1022</v>
      </c>
      <c r="G190" s="4">
        <v>11</v>
      </c>
      <c r="H190" s="4">
        <v>71216</v>
      </c>
      <c r="I190" s="4">
        <f t="shared" si="2"/>
        <v>783376</v>
      </c>
    </row>
    <row r="191" spans="1:9" x14ac:dyDescent="0.3">
      <c r="A191" s="1">
        <v>190</v>
      </c>
      <c r="B191" s="2" t="s">
        <v>202</v>
      </c>
      <c r="C191" s="3">
        <v>45116</v>
      </c>
      <c r="D191" s="4" t="s">
        <v>19</v>
      </c>
      <c r="E191" s="4" t="s">
        <v>20</v>
      </c>
      <c r="F191" s="4" t="s">
        <v>1024</v>
      </c>
      <c r="G191" s="4">
        <v>5</v>
      </c>
      <c r="H191" s="4">
        <v>26644</v>
      </c>
      <c r="I191" s="4">
        <f t="shared" si="2"/>
        <v>133220</v>
      </c>
    </row>
    <row r="192" spans="1:9" x14ac:dyDescent="0.3">
      <c r="A192" s="1">
        <v>191</v>
      </c>
      <c r="B192" s="2" t="s">
        <v>203</v>
      </c>
      <c r="C192" s="3">
        <v>45117</v>
      </c>
      <c r="D192" s="4" t="s">
        <v>1</v>
      </c>
      <c r="E192" s="4" t="s">
        <v>2</v>
      </c>
      <c r="F192" s="4" t="s">
        <v>21</v>
      </c>
      <c r="G192" s="4">
        <v>4</v>
      </c>
      <c r="H192" s="4">
        <v>67021</v>
      </c>
      <c r="I192" s="4">
        <f t="shared" si="2"/>
        <v>268084</v>
      </c>
    </row>
    <row r="193" spans="1:9" x14ac:dyDescent="0.3">
      <c r="A193" s="1">
        <v>192</v>
      </c>
      <c r="B193" s="2" t="s">
        <v>204</v>
      </c>
      <c r="C193" s="3">
        <v>45118</v>
      </c>
      <c r="D193" s="4" t="s">
        <v>1</v>
      </c>
      <c r="E193" s="4" t="s">
        <v>9</v>
      </c>
      <c r="F193" s="4" t="s">
        <v>15</v>
      </c>
      <c r="G193" s="4">
        <v>6</v>
      </c>
      <c r="H193" s="4">
        <v>42125</v>
      </c>
      <c r="I193" s="4">
        <f t="shared" si="2"/>
        <v>252750</v>
      </c>
    </row>
    <row r="194" spans="1:9" x14ac:dyDescent="0.3">
      <c r="A194" s="1">
        <v>193</v>
      </c>
      <c r="B194" s="2" t="s">
        <v>205</v>
      </c>
      <c r="C194" s="3">
        <v>45119</v>
      </c>
      <c r="D194" s="4" t="s">
        <v>7</v>
      </c>
      <c r="E194" s="4" t="s">
        <v>24</v>
      </c>
      <c r="F194" s="4" t="s">
        <v>15</v>
      </c>
      <c r="G194" s="4">
        <v>14</v>
      </c>
      <c r="H194" s="4">
        <v>71899</v>
      </c>
      <c r="I194" s="4">
        <f t="shared" si="2"/>
        <v>1006586</v>
      </c>
    </row>
    <row r="195" spans="1:9" x14ac:dyDescent="0.3">
      <c r="A195" s="1">
        <v>194</v>
      </c>
      <c r="B195" s="2" t="s">
        <v>206</v>
      </c>
      <c r="C195" s="3">
        <v>45120</v>
      </c>
      <c r="D195" s="4" t="s">
        <v>1</v>
      </c>
      <c r="E195" s="4" t="s">
        <v>11</v>
      </c>
      <c r="F195" s="4" t="s">
        <v>1024</v>
      </c>
      <c r="G195" s="4">
        <v>19</v>
      </c>
      <c r="H195" s="4">
        <v>47291</v>
      </c>
      <c r="I195" s="4">
        <f t="shared" ref="I195:I258" si="3">G195*H195</f>
        <v>898529</v>
      </c>
    </row>
    <row r="196" spans="1:9" x14ac:dyDescent="0.3">
      <c r="A196" s="1">
        <v>195</v>
      </c>
      <c r="B196" s="2" t="s">
        <v>207</v>
      </c>
      <c r="C196" s="3">
        <v>45121</v>
      </c>
      <c r="D196" s="4" t="s">
        <v>1</v>
      </c>
      <c r="E196" s="4" t="s">
        <v>24</v>
      </c>
      <c r="F196" s="4" t="s">
        <v>15</v>
      </c>
      <c r="G196" s="4">
        <v>9</v>
      </c>
      <c r="H196" s="4">
        <v>40060</v>
      </c>
      <c r="I196" s="4">
        <f t="shared" si="3"/>
        <v>360540</v>
      </c>
    </row>
    <row r="197" spans="1:9" x14ac:dyDescent="0.3">
      <c r="A197" s="1">
        <v>196</v>
      </c>
      <c r="B197" s="2" t="s">
        <v>208</v>
      </c>
      <c r="C197" s="3">
        <v>45122</v>
      </c>
      <c r="D197" s="4" t="s">
        <v>19</v>
      </c>
      <c r="E197" s="4" t="s">
        <v>2</v>
      </c>
      <c r="F197" s="4" t="s">
        <v>1022</v>
      </c>
      <c r="G197" s="4">
        <v>12</v>
      </c>
      <c r="H197" s="4">
        <v>6538</v>
      </c>
      <c r="I197" s="4">
        <f t="shared" si="3"/>
        <v>78456</v>
      </c>
    </row>
    <row r="198" spans="1:9" x14ac:dyDescent="0.3">
      <c r="A198" s="1">
        <v>197</v>
      </c>
      <c r="B198" s="2" t="s">
        <v>209</v>
      </c>
      <c r="C198" s="3">
        <v>45123</v>
      </c>
      <c r="D198" s="4" t="s">
        <v>19</v>
      </c>
      <c r="E198" s="4" t="s">
        <v>11</v>
      </c>
      <c r="F198" s="4" t="s">
        <v>1022</v>
      </c>
      <c r="G198" s="4">
        <v>11</v>
      </c>
      <c r="H198" s="4">
        <v>41176</v>
      </c>
      <c r="I198" s="4">
        <f t="shared" si="3"/>
        <v>452936</v>
      </c>
    </row>
    <row r="199" spans="1:9" x14ac:dyDescent="0.3">
      <c r="A199" s="1">
        <v>198</v>
      </c>
      <c r="B199" s="2" t="s">
        <v>210</v>
      </c>
      <c r="C199" s="3">
        <v>45124</v>
      </c>
      <c r="D199" s="4" t="s">
        <v>5</v>
      </c>
      <c r="E199" s="4" t="s">
        <v>20</v>
      </c>
      <c r="F199" s="4" t="s">
        <v>1024</v>
      </c>
      <c r="G199" s="4">
        <v>14</v>
      </c>
      <c r="H199" s="4">
        <v>46520</v>
      </c>
      <c r="I199" s="4">
        <f t="shared" si="3"/>
        <v>651280</v>
      </c>
    </row>
    <row r="200" spans="1:9" x14ac:dyDescent="0.3">
      <c r="A200" s="1">
        <v>199</v>
      </c>
      <c r="B200" s="2" t="s">
        <v>211</v>
      </c>
      <c r="C200" s="3">
        <v>45125</v>
      </c>
      <c r="D200" s="4" t="s">
        <v>7</v>
      </c>
      <c r="E200" s="4" t="s">
        <v>24</v>
      </c>
      <c r="F200" s="4" t="s">
        <v>21</v>
      </c>
      <c r="G200" s="4">
        <v>16</v>
      </c>
      <c r="H200" s="4">
        <v>30675</v>
      </c>
      <c r="I200" s="4">
        <f t="shared" si="3"/>
        <v>490800</v>
      </c>
    </row>
    <row r="201" spans="1:9" x14ac:dyDescent="0.3">
      <c r="A201" s="1">
        <v>200</v>
      </c>
      <c r="B201" s="2" t="s">
        <v>212</v>
      </c>
      <c r="C201" s="3">
        <v>45126</v>
      </c>
      <c r="D201" s="4" t="s">
        <v>1</v>
      </c>
      <c r="E201" s="4" t="s">
        <v>2</v>
      </c>
      <c r="F201" s="4" t="s">
        <v>1026</v>
      </c>
      <c r="G201" s="4">
        <v>1</v>
      </c>
      <c r="H201" s="4">
        <v>23287</v>
      </c>
      <c r="I201" s="4">
        <f t="shared" si="3"/>
        <v>23287</v>
      </c>
    </row>
    <row r="202" spans="1:9" x14ac:dyDescent="0.3">
      <c r="A202" s="1">
        <v>201</v>
      </c>
      <c r="B202" s="2" t="s">
        <v>213</v>
      </c>
      <c r="C202" s="3">
        <v>45127</v>
      </c>
      <c r="D202" s="4" t="s">
        <v>1</v>
      </c>
      <c r="E202" s="4" t="s">
        <v>9</v>
      </c>
      <c r="F202" s="4" t="s">
        <v>3</v>
      </c>
      <c r="G202" s="4">
        <v>13</v>
      </c>
      <c r="H202" s="4">
        <v>5174</v>
      </c>
      <c r="I202" s="4">
        <f t="shared" si="3"/>
        <v>67262</v>
      </c>
    </row>
    <row r="203" spans="1:9" x14ac:dyDescent="0.3">
      <c r="A203" s="1">
        <v>202</v>
      </c>
      <c r="B203" s="2" t="s">
        <v>214</v>
      </c>
      <c r="C203" s="3">
        <v>45128</v>
      </c>
      <c r="D203" s="4" t="s">
        <v>5</v>
      </c>
      <c r="E203" s="4" t="s">
        <v>11</v>
      </c>
      <c r="F203" s="4" t="s">
        <v>1026</v>
      </c>
      <c r="G203" s="4">
        <v>13</v>
      </c>
      <c r="H203" s="4">
        <v>39998</v>
      </c>
      <c r="I203" s="4">
        <f t="shared" si="3"/>
        <v>519974</v>
      </c>
    </row>
    <row r="204" spans="1:9" x14ac:dyDescent="0.3">
      <c r="A204" s="1">
        <v>203</v>
      </c>
      <c r="B204" s="2" t="s">
        <v>215</v>
      </c>
      <c r="C204" s="3">
        <v>45129</v>
      </c>
      <c r="D204" s="4" t="s">
        <v>1</v>
      </c>
      <c r="E204" s="4" t="s">
        <v>24</v>
      </c>
      <c r="F204" s="4" t="s">
        <v>15</v>
      </c>
      <c r="G204" s="4">
        <v>2</v>
      </c>
      <c r="H204" s="4">
        <v>58312</v>
      </c>
      <c r="I204" s="4">
        <f t="shared" si="3"/>
        <v>116624</v>
      </c>
    </row>
    <row r="205" spans="1:9" x14ac:dyDescent="0.3">
      <c r="A205" s="1">
        <v>204</v>
      </c>
      <c r="B205" s="2" t="s">
        <v>216</v>
      </c>
      <c r="C205" s="3">
        <v>45130</v>
      </c>
      <c r="D205" s="4" t="s">
        <v>7</v>
      </c>
      <c r="E205" s="4" t="s">
        <v>24</v>
      </c>
      <c r="F205" s="4" t="s">
        <v>3</v>
      </c>
      <c r="G205" s="4">
        <v>4</v>
      </c>
      <c r="H205" s="4">
        <v>17112</v>
      </c>
      <c r="I205" s="4">
        <f t="shared" si="3"/>
        <v>68448</v>
      </c>
    </row>
    <row r="206" spans="1:9" x14ac:dyDescent="0.3">
      <c r="A206" s="1">
        <v>205</v>
      </c>
      <c r="B206" s="2" t="s">
        <v>217</v>
      </c>
      <c r="C206" s="3">
        <v>45131</v>
      </c>
      <c r="D206" s="4" t="s">
        <v>5</v>
      </c>
      <c r="E206" s="4" t="s">
        <v>1040</v>
      </c>
      <c r="F206" s="4" t="s">
        <v>1024</v>
      </c>
      <c r="G206" s="4">
        <v>6</v>
      </c>
      <c r="H206" s="4">
        <v>49814</v>
      </c>
      <c r="I206" s="4">
        <f t="shared" si="3"/>
        <v>298884</v>
      </c>
    </row>
    <row r="207" spans="1:9" x14ac:dyDescent="0.3">
      <c r="A207" s="1">
        <v>206</v>
      </c>
      <c r="B207" s="2" t="s">
        <v>218</v>
      </c>
      <c r="C207" s="3">
        <v>45132</v>
      </c>
      <c r="D207" s="4" t="s">
        <v>7</v>
      </c>
      <c r="E207" s="4" t="s">
        <v>1040</v>
      </c>
      <c r="F207" s="4" t="s">
        <v>1024</v>
      </c>
      <c r="G207" s="4">
        <v>5</v>
      </c>
      <c r="H207" s="4">
        <v>55719</v>
      </c>
      <c r="I207" s="4">
        <f t="shared" si="3"/>
        <v>278595</v>
      </c>
    </row>
    <row r="208" spans="1:9" x14ac:dyDescent="0.3">
      <c r="A208" s="1">
        <v>207</v>
      </c>
      <c r="B208" s="2" t="s">
        <v>219</v>
      </c>
      <c r="C208" s="3">
        <v>45133</v>
      </c>
      <c r="D208" s="4" t="s">
        <v>5</v>
      </c>
      <c r="E208" s="4" t="s">
        <v>9</v>
      </c>
      <c r="F208" s="4" t="s">
        <v>21</v>
      </c>
      <c r="G208" s="4">
        <v>3</v>
      </c>
      <c r="H208" s="4">
        <v>38919</v>
      </c>
      <c r="I208" s="4">
        <f t="shared" si="3"/>
        <v>116757</v>
      </c>
    </row>
    <row r="209" spans="1:9" x14ac:dyDescent="0.3">
      <c r="A209" s="1">
        <v>208</v>
      </c>
      <c r="B209" s="2" t="s">
        <v>220</v>
      </c>
      <c r="C209" s="3">
        <v>45134</v>
      </c>
      <c r="D209" s="4" t="s">
        <v>5</v>
      </c>
      <c r="E209" s="4" t="s">
        <v>9</v>
      </c>
      <c r="F209" s="4" t="s">
        <v>3</v>
      </c>
      <c r="G209" s="4">
        <v>1</v>
      </c>
      <c r="H209" s="4">
        <v>46328</v>
      </c>
      <c r="I209" s="4">
        <f t="shared" si="3"/>
        <v>46328</v>
      </c>
    </row>
    <row r="210" spans="1:9" x14ac:dyDescent="0.3">
      <c r="A210" s="1">
        <v>209</v>
      </c>
      <c r="B210" s="2" t="s">
        <v>221</v>
      </c>
      <c r="C210" s="3">
        <v>45135</v>
      </c>
      <c r="D210" s="4" t="s">
        <v>19</v>
      </c>
      <c r="E210" s="4" t="s">
        <v>2</v>
      </c>
      <c r="F210" s="4" t="s">
        <v>1022</v>
      </c>
      <c r="G210" s="4">
        <v>4</v>
      </c>
      <c r="H210" s="4">
        <v>29618</v>
      </c>
      <c r="I210" s="4">
        <f t="shared" si="3"/>
        <v>118472</v>
      </c>
    </row>
    <row r="211" spans="1:9" x14ac:dyDescent="0.3">
      <c r="A211" s="1">
        <v>210</v>
      </c>
      <c r="B211" s="2" t="s">
        <v>222</v>
      </c>
      <c r="C211" s="3">
        <v>45136</v>
      </c>
      <c r="D211" s="4" t="s">
        <v>7</v>
      </c>
      <c r="E211" s="4" t="s">
        <v>2</v>
      </c>
      <c r="F211" s="4" t="s">
        <v>3</v>
      </c>
      <c r="G211" s="4">
        <v>2</v>
      </c>
      <c r="H211" s="4">
        <v>39675</v>
      </c>
      <c r="I211" s="4">
        <f t="shared" si="3"/>
        <v>79350</v>
      </c>
    </row>
    <row r="212" spans="1:9" x14ac:dyDescent="0.3">
      <c r="A212" s="1">
        <v>211</v>
      </c>
      <c r="B212" s="2" t="s">
        <v>223</v>
      </c>
      <c r="C212" s="3">
        <v>45137</v>
      </c>
      <c r="D212" s="4" t="s">
        <v>1</v>
      </c>
      <c r="E212" s="4" t="s">
        <v>9</v>
      </c>
      <c r="F212" s="4" t="s">
        <v>15</v>
      </c>
      <c r="G212" s="4">
        <v>5</v>
      </c>
      <c r="H212" s="4">
        <v>23919</v>
      </c>
      <c r="I212" s="4">
        <f t="shared" si="3"/>
        <v>119595</v>
      </c>
    </row>
    <row r="213" spans="1:9" x14ac:dyDescent="0.3">
      <c r="A213" s="1">
        <v>212</v>
      </c>
      <c r="B213" s="2" t="s">
        <v>224</v>
      </c>
      <c r="C213" s="3">
        <v>45138</v>
      </c>
      <c r="D213" s="4" t="s">
        <v>1</v>
      </c>
      <c r="E213" s="4" t="s">
        <v>9</v>
      </c>
      <c r="F213" s="4" t="s">
        <v>1022</v>
      </c>
      <c r="G213" s="4">
        <v>3</v>
      </c>
      <c r="H213" s="4">
        <v>9173</v>
      </c>
      <c r="I213" s="4">
        <f t="shared" si="3"/>
        <v>27519</v>
      </c>
    </row>
    <row r="214" spans="1:9" x14ac:dyDescent="0.3">
      <c r="A214" s="1">
        <v>213</v>
      </c>
      <c r="B214" s="2" t="s">
        <v>225</v>
      </c>
      <c r="C214" s="3">
        <v>45139</v>
      </c>
      <c r="D214" s="4" t="s">
        <v>7</v>
      </c>
      <c r="E214" s="4" t="s">
        <v>11</v>
      </c>
      <c r="F214" s="4" t="s">
        <v>1024</v>
      </c>
      <c r="G214" s="4">
        <v>9</v>
      </c>
      <c r="H214" s="4">
        <v>31400</v>
      </c>
      <c r="I214" s="4">
        <f t="shared" si="3"/>
        <v>282600</v>
      </c>
    </row>
    <row r="215" spans="1:9" x14ac:dyDescent="0.3">
      <c r="A215" s="1">
        <v>214</v>
      </c>
      <c r="B215" s="2" t="s">
        <v>226</v>
      </c>
      <c r="C215" s="3">
        <v>45140</v>
      </c>
      <c r="D215" s="4" t="s">
        <v>1</v>
      </c>
      <c r="E215" s="4" t="s">
        <v>1040</v>
      </c>
      <c r="F215" s="4" t="s">
        <v>3</v>
      </c>
      <c r="G215" s="4">
        <v>6</v>
      </c>
      <c r="H215" s="4">
        <v>55445</v>
      </c>
      <c r="I215" s="4">
        <f t="shared" si="3"/>
        <v>332670</v>
      </c>
    </row>
    <row r="216" spans="1:9" x14ac:dyDescent="0.3">
      <c r="A216" s="1">
        <v>215</v>
      </c>
      <c r="B216" s="2" t="s">
        <v>227</v>
      </c>
      <c r="C216" s="3">
        <v>45141</v>
      </c>
      <c r="D216" s="4" t="s">
        <v>1</v>
      </c>
      <c r="E216" s="4" t="s">
        <v>2</v>
      </c>
      <c r="F216" s="4" t="s">
        <v>1026</v>
      </c>
      <c r="G216" s="4">
        <v>18</v>
      </c>
      <c r="H216" s="4">
        <v>42564</v>
      </c>
      <c r="I216" s="4">
        <f t="shared" si="3"/>
        <v>766152</v>
      </c>
    </row>
    <row r="217" spans="1:9" x14ac:dyDescent="0.3">
      <c r="A217" s="1">
        <v>216</v>
      </c>
      <c r="B217" s="2" t="s">
        <v>228</v>
      </c>
      <c r="C217" s="3">
        <v>45142</v>
      </c>
      <c r="D217" s="4" t="s">
        <v>7</v>
      </c>
      <c r="E217" s="4" t="s">
        <v>1040</v>
      </c>
      <c r="F217" s="4" t="s">
        <v>21</v>
      </c>
      <c r="G217" s="4">
        <v>6</v>
      </c>
      <c r="H217" s="4">
        <v>50814</v>
      </c>
      <c r="I217" s="4">
        <f t="shared" si="3"/>
        <v>304884</v>
      </c>
    </row>
    <row r="218" spans="1:9" x14ac:dyDescent="0.3">
      <c r="A218" s="1">
        <v>217</v>
      </c>
      <c r="B218" s="2" t="s">
        <v>229</v>
      </c>
      <c r="C218" s="3">
        <v>45143</v>
      </c>
      <c r="D218" s="4" t="s">
        <v>5</v>
      </c>
      <c r="E218" s="4" t="s">
        <v>1040</v>
      </c>
      <c r="F218" s="4" t="s">
        <v>1026</v>
      </c>
      <c r="G218" s="4">
        <v>19</v>
      </c>
      <c r="H218" s="4">
        <v>32962</v>
      </c>
      <c r="I218" s="4">
        <f t="shared" si="3"/>
        <v>626278</v>
      </c>
    </row>
    <row r="219" spans="1:9" x14ac:dyDescent="0.3">
      <c r="A219" s="1">
        <v>218</v>
      </c>
      <c r="B219" s="2" t="s">
        <v>230</v>
      </c>
      <c r="C219" s="3">
        <v>45144</v>
      </c>
      <c r="D219" s="4" t="s">
        <v>7</v>
      </c>
      <c r="E219" s="4" t="s">
        <v>9</v>
      </c>
      <c r="F219" s="4" t="s">
        <v>21</v>
      </c>
      <c r="G219" s="4">
        <v>12</v>
      </c>
      <c r="H219" s="4">
        <v>61184</v>
      </c>
      <c r="I219" s="4">
        <f t="shared" si="3"/>
        <v>734208</v>
      </c>
    </row>
    <row r="220" spans="1:9" x14ac:dyDescent="0.3">
      <c r="A220" s="1">
        <v>219</v>
      </c>
      <c r="B220" s="2" t="s">
        <v>231</v>
      </c>
      <c r="C220" s="3">
        <v>45145</v>
      </c>
      <c r="D220" s="4" t="s">
        <v>5</v>
      </c>
      <c r="E220" s="4" t="s">
        <v>11</v>
      </c>
      <c r="F220" s="4" t="s">
        <v>15</v>
      </c>
      <c r="G220" s="4">
        <v>11</v>
      </c>
      <c r="H220" s="4">
        <v>15578</v>
      </c>
      <c r="I220" s="4">
        <f t="shared" si="3"/>
        <v>171358</v>
      </c>
    </row>
    <row r="221" spans="1:9" x14ac:dyDescent="0.3">
      <c r="A221" s="1">
        <v>220</v>
      </c>
      <c r="B221" s="2" t="s">
        <v>232</v>
      </c>
      <c r="C221" s="3">
        <v>45146</v>
      </c>
      <c r="D221" s="4" t="s">
        <v>1</v>
      </c>
      <c r="E221" s="4" t="s">
        <v>24</v>
      </c>
      <c r="F221" s="4" t="s">
        <v>1026</v>
      </c>
      <c r="G221" s="4">
        <v>2</v>
      </c>
      <c r="H221" s="4">
        <v>23624</v>
      </c>
      <c r="I221" s="4">
        <f t="shared" si="3"/>
        <v>47248</v>
      </c>
    </row>
    <row r="222" spans="1:9" x14ac:dyDescent="0.3">
      <c r="A222" s="1">
        <v>221</v>
      </c>
      <c r="B222" s="2" t="s">
        <v>233</v>
      </c>
      <c r="C222" s="3">
        <v>45147</v>
      </c>
      <c r="D222" s="4" t="s">
        <v>1</v>
      </c>
      <c r="E222" s="4" t="s">
        <v>11</v>
      </c>
      <c r="F222" s="4" t="s">
        <v>3</v>
      </c>
      <c r="G222" s="4">
        <v>15</v>
      </c>
      <c r="H222" s="4">
        <v>44194</v>
      </c>
      <c r="I222" s="4">
        <f t="shared" si="3"/>
        <v>662910</v>
      </c>
    </row>
    <row r="223" spans="1:9" x14ac:dyDescent="0.3">
      <c r="A223" s="1">
        <v>222</v>
      </c>
      <c r="B223" s="2" t="s">
        <v>234</v>
      </c>
      <c r="C223" s="3">
        <v>45148</v>
      </c>
      <c r="D223" s="4" t="s">
        <v>1</v>
      </c>
      <c r="E223" s="4" t="s">
        <v>11</v>
      </c>
      <c r="F223" s="4" t="s">
        <v>3</v>
      </c>
      <c r="G223" s="4">
        <v>12</v>
      </c>
      <c r="H223" s="4">
        <v>5389</v>
      </c>
      <c r="I223" s="4">
        <f t="shared" si="3"/>
        <v>64668</v>
      </c>
    </row>
    <row r="224" spans="1:9" x14ac:dyDescent="0.3">
      <c r="A224" s="1">
        <v>223</v>
      </c>
      <c r="B224" s="2" t="s">
        <v>235</v>
      </c>
      <c r="C224" s="3">
        <v>45149</v>
      </c>
      <c r="D224" s="4" t="s">
        <v>19</v>
      </c>
      <c r="E224" s="4" t="s">
        <v>1040</v>
      </c>
      <c r="F224" s="4" t="s">
        <v>1026</v>
      </c>
      <c r="G224" s="4">
        <v>12</v>
      </c>
      <c r="H224" s="4">
        <v>72391</v>
      </c>
      <c r="I224" s="4">
        <f t="shared" si="3"/>
        <v>868692</v>
      </c>
    </row>
    <row r="225" spans="1:9" x14ac:dyDescent="0.3">
      <c r="A225" s="1">
        <v>224</v>
      </c>
      <c r="B225" s="2" t="s">
        <v>236</v>
      </c>
      <c r="C225" s="3">
        <v>45150</v>
      </c>
      <c r="D225" s="4" t="s">
        <v>5</v>
      </c>
      <c r="E225" s="4" t="s">
        <v>11</v>
      </c>
      <c r="F225" s="4" t="s">
        <v>3</v>
      </c>
      <c r="G225" s="4">
        <v>9</v>
      </c>
      <c r="H225" s="4">
        <v>18794</v>
      </c>
      <c r="I225" s="4">
        <f t="shared" si="3"/>
        <v>169146</v>
      </c>
    </row>
    <row r="226" spans="1:9" x14ac:dyDescent="0.3">
      <c r="A226" s="1">
        <v>225</v>
      </c>
      <c r="B226" s="2" t="s">
        <v>237</v>
      </c>
      <c r="C226" s="3">
        <v>45151</v>
      </c>
      <c r="D226" s="4" t="s">
        <v>19</v>
      </c>
      <c r="E226" s="4" t="s">
        <v>2</v>
      </c>
      <c r="F226" s="4" t="s">
        <v>15</v>
      </c>
      <c r="G226" s="4">
        <v>2</v>
      </c>
      <c r="H226" s="4">
        <v>63002</v>
      </c>
      <c r="I226" s="4">
        <f t="shared" si="3"/>
        <v>126004</v>
      </c>
    </row>
    <row r="227" spans="1:9" x14ac:dyDescent="0.3">
      <c r="A227" s="1">
        <v>226</v>
      </c>
      <c r="B227" s="2" t="s">
        <v>238</v>
      </c>
      <c r="C227" s="3">
        <v>45152</v>
      </c>
      <c r="D227" s="4" t="s">
        <v>19</v>
      </c>
      <c r="E227" s="4" t="s">
        <v>1040</v>
      </c>
      <c r="F227" s="4" t="s">
        <v>1022</v>
      </c>
      <c r="G227" s="4">
        <v>3</v>
      </c>
      <c r="H227" s="4">
        <v>40531</v>
      </c>
      <c r="I227" s="4">
        <f t="shared" si="3"/>
        <v>121593</v>
      </c>
    </row>
    <row r="228" spans="1:9" x14ac:dyDescent="0.3">
      <c r="A228" s="1">
        <v>227</v>
      </c>
      <c r="B228" s="2" t="s">
        <v>239</v>
      </c>
      <c r="C228" s="3">
        <v>45153</v>
      </c>
      <c r="D228" s="4" t="s">
        <v>7</v>
      </c>
      <c r="E228" s="4" t="s">
        <v>2</v>
      </c>
      <c r="F228" s="4" t="s">
        <v>15</v>
      </c>
      <c r="G228" s="4">
        <v>12</v>
      </c>
      <c r="H228" s="4">
        <v>57815</v>
      </c>
      <c r="I228" s="4">
        <f t="shared" si="3"/>
        <v>693780</v>
      </c>
    </row>
    <row r="229" spans="1:9" x14ac:dyDescent="0.3">
      <c r="A229" s="1">
        <v>228</v>
      </c>
      <c r="B229" s="2" t="s">
        <v>240</v>
      </c>
      <c r="C229" s="3">
        <v>45154</v>
      </c>
      <c r="D229" s="4" t="s">
        <v>19</v>
      </c>
      <c r="E229" s="4" t="s">
        <v>24</v>
      </c>
      <c r="F229" s="4" t="s">
        <v>21</v>
      </c>
      <c r="G229" s="4">
        <v>16</v>
      </c>
      <c r="H229" s="4">
        <v>9986</v>
      </c>
      <c r="I229" s="4">
        <f t="shared" si="3"/>
        <v>159776</v>
      </c>
    </row>
    <row r="230" spans="1:9" x14ac:dyDescent="0.3">
      <c r="A230" s="1">
        <v>229</v>
      </c>
      <c r="B230" s="2" t="s">
        <v>241</v>
      </c>
      <c r="C230" s="3">
        <v>45155</v>
      </c>
      <c r="D230" s="4" t="s">
        <v>7</v>
      </c>
      <c r="E230" s="4" t="s">
        <v>1040</v>
      </c>
      <c r="F230" s="4" t="s">
        <v>15</v>
      </c>
      <c r="G230" s="4">
        <v>1</v>
      </c>
      <c r="H230" s="4">
        <v>37298</v>
      </c>
      <c r="I230" s="4">
        <f t="shared" si="3"/>
        <v>37298</v>
      </c>
    </row>
    <row r="231" spans="1:9" x14ac:dyDescent="0.3">
      <c r="A231" s="1">
        <v>230</v>
      </c>
      <c r="B231" s="2" t="s">
        <v>242</v>
      </c>
      <c r="C231" s="3">
        <v>45156</v>
      </c>
      <c r="D231" s="4" t="s">
        <v>7</v>
      </c>
      <c r="E231" s="4" t="s">
        <v>24</v>
      </c>
      <c r="F231" s="4" t="s">
        <v>21</v>
      </c>
      <c r="G231" s="4">
        <v>3</v>
      </c>
      <c r="H231" s="4">
        <v>6481</v>
      </c>
      <c r="I231" s="4">
        <f t="shared" si="3"/>
        <v>19443</v>
      </c>
    </row>
    <row r="232" spans="1:9" x14ac:dyDescent="0.3">
      <c r="A232" s="1">
        <v>231</v>
      </c>
      <c r="B232" s="2" t="s">
        <v>243</v>
      </c>
      <c r="C232" s="3">
        <v>45157</v>
      </c>
      <c r="D232" s="4" t="s">
        <v>19</v>
      </c>
      <c r="E232" s="4" t="s">
        <v>1040</v>
      </c>
      <c r="F232" s="4" t="s">
        <v>3</v>
      </c>
      <c r="G232" s="4">
        <v>2</v>
      </c>
      <c r="H232" s="4">
        <v>61408</v>
      </c>
      <c r="I232" s="4">
        <f t="shared" si="3"/>
        <v>122816</v>
      </c>
    </row>
    <row r="233" spans="1:9" x14ac:dyDescent="0.3">
      <c r="A233" s="1">
        <v>232</v>
      </c>
      <c r="B233" s="2" t="s">
        <v>244</v>
      </c>
      <c r="C233" s="3">
        <v>45158</v>
      </c>
      <c r="D233" s="4" t="s">
        <v>5</v>
      </c>
      <c r="E233" s="4" t="s">
        <v>9</v>
      </c>
      <c r="F233" s="4" t="s">
        <v>1022</v>
      </c>
      <c r="G233" s="4">
        <v>9</v>
      </c>
      <c r="H233" s="4">
        <v>74267</v>
      </c>
      <c r="I233" s="4">
        <f t="shared" si="3"/>
        <v>668403</v>
      </c>
    </row>
    <row r="234" spans="1:9" x14ac:dyDescent="0.3">
      <c r="A234" s="1">
        <v>233</v>
      </c>
      <c r="B234" s="2" t="s">
        <v>245</v>
      </c>
      <c r="C234" s="3">
        <v>45159</v>
      </c>
      <c r="D234" s="4" t="s">
        <v>5</v>
      </c>
      <c r="E234" s="4" t="s">
        <v>11</v>
      </c>
      <c r="F234" s="4" t="s">
        <v>3</v>
      </c>
      <c r="G234" s="4">
        <v>19</v>
      </c>
      <c r="H234" s="4">
        <v>21835</v>
      </c>
      <c r="I234" s="4">
        <f t="shared" si="3"/>
        <v>414865</v>
      </c>
    </row>
    <row r="235" spans="1:9" x14ac:dyDescent="0.3">
      <c r="A235" s="1">
        <v>234</v>
      </c>
      <c r="B235" s="2" t="s">
        <v>246</v>
      </c>
      <c r="C235" s="3">
        <v>45160</v>
      </c>
      <c r="D235" s="4" t="s">
        <v>5</v>
      </c>
      <c r="E235" s="4" t="s">
        <v>9</v>
      </c>
      <c r="F235" s="4" t="s">
        <v>1024</v>
      </c>
      <c r="G235" s="4">
        <v>15</v>
      </c>
      <c r="H235" s="4">
        <v>32798</v>
      </c>
      <c r="I235" s="4">
        <f t="shared" si="3"/>
        <v>491970</v>
      </c>
    </row>
    <row r="236" spans="1:9" x14ac:dyDescent="0.3">
      <c r="A236" s="1">
        <v>235</v>
      </c>
      <c r="B236" s="2" t="s">
        <v>247</v>
      </c>
      <c r="C236" s="3">
        <v>45161</v>
      </c>
      <c r="D236" s="4" t="s">
        <v>5</v>
      </c>
      <c r="E236" s="4" t="s">
        <v>24</v>
      </c>
      <c r="F236" s="4" t="s">
        <v>3</v>
      </c>
      <c r="G236" s="4">
        <v>18</v>
      </c>
      <c r="H236" s="4">
        <v>69887</v>
      </c>
      <c r="I236" s="4">
        <f t="shared" si="3"/>
        <v>1257966</v>
      </c>
    </row>
    <row r="237" spans="1:9" x14ac:dyDescent="0.3">
      <c r="A237" s="1">
        <v>236</v>
      </c>
      <c r="B237" s="2" t="s">
        <v>248</v>
      </c>
      <c r="C237" s="3">
        <v>45162</v>
      </c>
      <c r="D237" s="4" t="s">
        <v>5</v>
      </c>
      <c r="E237" s="4" t="s">
        <v>11</v>
      </c>
      <c r="F237" s="4" t="s">
        <v>21</v>
      </c>
      <c r="G237" s="4">
        <v>11</v>
      </c>
      <c r="H237" s="4">
        <v>24477</v>
      </c>
      <c r="I237" s="4">
        <f t="shared" si="3"/>
        <v>269247</v>
      </c>
    </row>
    <row r="238" spans="1:9" x14ac:dyDescent="0.3">
      <c r="A238" s="1">
        <v>237</v>
      </c>
      <c r="B238" s="2" t="s">
        <v>249</v>
      </c>
      <c r="C238" s="3">
        <v>45163</v>
      </c>
      <c r="D238" s="4" t="s">
        <v>19</v>
      </c>
      <c r="E238" s="4" t="s">
        <v>1040</v>
      </c>
      <c r="F238" s="4" t="s">
        <v>3</v>
      </c>
      <c r="G238" s="4">
        <v>16</v>
      </c>
      <c r="H238" s="4">
        <v>22266</v>
      </c>
      <c r="I238" s="4">
        <f t="shared" si="3"/>
        <v>356256</v>
      </c>
    </row>
    <row r="239" spans="1:9" x14ac:dyDescent="0.3">
      <c r="A239" s="1">
        <v>238</v>
      </c>
      <c r="B239" s="2" t="s">
        <v>250</v>
      </c>
      <c r="C239" s="3">
        <v>45164</v>
      </c>
      <c r="D239" s="4" t="s">
        <v>19</v>
      </c>
      <c r="E239" s="4" t="s">
        <v>11</v>
      </c>
      <c r="F239" s="4" t="s">
        <v>3</v>
      </c>
      <c r="G239" s="4">
        <v>17</v>
      </c>
      <c r="H239" s="4">
        <v>48526</v>
      </c>
      <c r="I239" s="4">
        <f t="shared" si="3"/>
        <v>824942</v>
      </c>
    </row>
    <row r="240" spans="1:9" x14ac:dyDescent="0.3">
      <c r="A240" s="1">
        <v>239</v>
      </c>
      <c r="B240" s="2" t="s">
        <v>251</v>
      </c>
      <c r="C240" s="3">
        <v>45165</v>
      </c>
      <c r="D240" s="4" t="s">
        <v>1</v>
      </c>
      <c r="E240" s="4" t="s">
        <v>2</v>
      </c>
      <c r="F240" s="4" t="s">
        <v>1022</v>
      </c>
      <c r="G240" s="4">
        <v>5</v>
      </c>
      <c r="H240" s="4">
        <v>16889</v>
      </c>
      <c r="I240" s="4">
        <f t="shared" si="3"/>
        <v>84445</v>
      </c>
    </row>
    <row r="241" spans="1:9" x14ac:dyDescent="0.3">
      <c r="A241" s="1">
        <v>240</v>
      </c>
      <c r="B241" s="2" t="s">
        <v>252</v>
      </c>
      <c r="C241" s="3">
        <v>45166</v>
      </c>
      <c r="D241" s="4" t="s">
        <v>5</v>
      </c>
      <c r="E241" s="4" t="s">
        <v>11</v>
      </c>
      <c r="F241" s="4" t="s">
        <v>3</v>
      </c>
      <c r="G241" s="4">
        <v>12</v>
      </c>
      <c r="H241" s="4">
        <v>29335</v>
      </c>
      <c r="I241" s="4">
        <f t="shared" si="3"/>
        <v>352020</v>
      </c>
    </row>
    <row r="242" spans="1:9" x14ac:dyDescent="0.3">
      <c r="A242" s="1">
        <v>241</v>
      </c>
      <c r="B242" s="2" t="s">
        <v>253</v>
      </c>
      <c r="C242" s="3">
        <v>45167</v>
      </c>
      <c r="D242" s="4" t="s">
        <v>19</v>
      </c>
      <c r="E242" s="4" t="s">
        <v>1040</v>
      </c>
      <c r="F242" s="4" t="s">
        <v>1022</v>
      </c>
      <c r="G242" s="4">
        <v>11</v>
      </c>
      <c r="H242" s="4">
        <v>16254</v>
      </c>
      <c r="I242" s="4">
        <f t="shared" si="3"/>
        <v>178794</v>
      </c>
    </row>
    <row r="243" spans="1:9" x14ac:dyDescent="0.3">
      <c r="A243" s="1">
        <v>242</v>
      </c>
      <c r="B243" s="2" t="s">
        <v>254</v>
      </c>
      <c r="C243" s="3">
        <v>45168</v>
      </c>
      <c r="D243" s="4" t="s">
        <v>1</v>
      </c>
      <c r="E243" s="4" t="s">
        <v>11</v>
      </c>
      <c r="F243" s="4" t="s">
        <v>1026</v>
      </c>
      <c r="G243" s="4">
        <v>15</v>
      </c>
      <c r="H243" s="4">
        <v>16442</v>
      </c>
      <c r="I243" s="4">
        <f t="shared" si="3"/>
        <v>246630</v>
      </c>
    </row>
    <row r="244" spans="1:9" x14ac:dyDescent="0.3">
      <c r="A244" s="1">
        <v>243</v>
      </c>
      <c r="B244" s="2" t="s">
        <v>255</v>
      </c>
      <c r="C244" s="3">
        <v>45169</v>
      </c>
      <c r="D244" s="4" t="s">
        <v>5</v>
      </c>
      <c r="E244" s="4" t="s">
        <v>1040</v>
      </c>
      <c r="F244" s="4" t="s">
        <v>1024</v>
      </c>
      <c r="G244" s="4">
        <v>3</v>
      </c>
      <c r="H244" s="4">
        <v>51289</v>
      </c>
      <c r="I244" s="4">
        <f t="shared" si="3"/>
        <v>153867</v>
      </c>
    </row>
    <row r="245" spans="1:9" x14ac:dyDescent="0.3">
      <c r="A245" s="1">
        <v>244</v>
      </c>
      <c r="B245" s="2" t="s">
        <v>256</v>
      </c>
      <c r="C245" s="3">
        <v>45170</v>
      </c>
      <c r="D245" s="4" t="s">
        <v>7</v>
      </c>
      <c r="E245" s="4" t="s">
        <v>24</v>
      </c>
      <c r="F245" s="4" t="s">
        <v>1022</v>
      </c>
      <c r="G245" s="4">
        <v>1</v>
      </c>
      <c r="H245" s="4">
        <v>58747</v>
      </c>
      <c r="I245" s="4">
        <f t="shared" si="3"/>
        <v>58747</v>
      </c>
    </row>
    <row r="246" spans="1:9" x14ac:dyDescent="0.3">
      <c r="A246" s="1">
        <v>245</v>
      </c>
      <c r="B246" s="2" t="s">
        <v>257</v>
      </c>
      <c r="C246" s="3">
        <v>45171</v>
      </c>
      <c r="D246" s="4" t="s">
        <v>1</v>
      </c>
      <c r="E246" s="4" t="s">
        <v>9</v>
      </c>
      <c r="F246" s="4" t="s">
        <v>21</v>
      </c>
      <c r="G246" s="4">
        <v>16</v>
      </c>
      <c r="H246" s="4">
        <v>42327</v>
      </c>
      <c r="I246" s="4">
        <f t="shared" si="3"/>
        <v>677232</v>
      </c>
    </row>
    <row r="247" spans="1:9" x14ac:dyDescent="0.3">
      <c r="A247" s="1">
        <v>246</v>
      </c>
      <c r="B247" s="2" t="s">
        <v>258</v>
      </c>
      <c r="C247" s="3">
        <v>45172</v>
      </c>
      <c r="D247" s="4" t="s">
        <v>19</v>
      </c>
      <c r="E247" s="4" t="s">
        <v>1040</v>
      </c>
      <c r="F247" s="4" t="s">
        <v>1026</v>
      </c>
      <c r="G247" s="4">
        <v>2</v>
      </c>
      <c r="H247" s="4">
        <v>21199</v>
      </c>
      <c r="I247" s="4">
        <f t="shared" si="3"/>
        <v>42398</v>
      </c>
    </row>
    <row r="248" spans="1:9" x14ac:dyDescent="0.3">
      <c r="A248" s="1">
        <v>247</v>
      </c>
      <c r="B248" s="2" t="s">
        <v>259</v>
      </c>
      <c r="C248" s="3">
        <v>45173</v>
      </c>
      <c r="D248" s="4" t="s">
        <v>7</v>
      </c>
      <c r="E248" s="4" t="s">
        <v>11</v>
      </c>
      <c r="F248" s="4" t="s">
        <v>1022</v>
      </c>
      <c r="G248" s="4">
        <v>2</v>
      </c>
      <c r="H248" s="4">
        <v>5112</v>
      </c>
      <c r="I248" s="4">
        <f t="shared" si="3"/>
        <v>10224</v>
      </c>
    </row>
    <row r="249" spans="1:9" x14ac:dyDescent="0.3">
      <c r="A249" s="1">
        <v>248</v>
      </c>
      <c r="B249" s="2" t="s">
        <v>260</v>
      </c>
      <c r="C249" s="3">
        <v>45174</v>
      </c>
      <c r="D249" s="4" t="s">
        <v>7</v>
      </c>
      <c r="E249" s="4" t="s">
        <v>9</v>
      </c>
      <c r="F249" s="4" t="s">
        <v>1022</v>
      </c>
      <c r="G249" s="4">
        <v>3</v>
      </c>
      <c r="H249" s="4">
        <v>24581</v>
      </c>
      <c r="I249" s="4">
        <f t="shared" si="3"/>
        <v>73743</v>
      </c>
    </row>
    <row r="250" spans="1:9" x14ac:dyDescent="0.3">
      <c r="A250" s="1">
        <v>249</v>
      </c>
      <c r="B250" s="2" t="s">
        <v>261</v>
      </c>
      <c r="C250" s="3">
        <v>45175</v>
      </c>
      <c r="D250" s="4" t="s">
        <v>7</v>
      </c>
      <c r="E250" s="4" t="s">
        <v>1040</v>
      </c>
      <c r="F250" s="4" t="s">
        <v>1024</v>
      </c>
      <c r="G250" s="4">
        <v>8</v>
      </c>
      <c r="H250" s="4">
        <v>64722</v>
      </c>
      <c r="I250" s="4">
        <f t="shared" si="3"/>
        <v>517776</v>
      </c>
    </row>
    <row r="251" spans="1:9" x14ac:dyDescent="0.3">
      <c r="A251" s="1">
        <v>250</v>
      </c>
      <c r="B251" s="2" t="s">
        <v>262</v>
      </c>
      <c r="C251" s="3">
        <v>45176</v>
      </c>
      <c r="D251" s="4" t="s">
        <v>1</v>
      </c>
      <c r="E251" s="4" t="s">
        <v>1040</v>
      </c>
      <c r="F251" s="4" t="s">
        <v>21</v>
      </c>
      <c r="G251" s="4">
        <v>15</v>
      </c>
      <c r="H251" s="4">
        <v>21523</v>
      </c>
      <c r="I251" s="4">
        <f t="shared" si="3"/>
        <v>322845</v>
      </c>
    </row>
    <row r="252" spans="1:9" x14ac:dyDescent="0.3">
      <c r="A252" s="1">
        <v>251</v>
      </c>
      <c r="B252" s="2" t="s">
        <v>263</v>
      </c>
      <c r="C252" s="3">
        <v>45177</v>
      </c>
      <c r="D252" s="4" t="s">
        <v>19</v>
      </c>
      <c r="E252" s="4" t="s">
        <v>1040</v>
      </c>
      <c r="F252" s="4" t="s">
        <v>15</v>
      </c>
      <c r="G252" s="4">
        <v>7</v>
      </c>
      <c r="H252" s="4">
        <v>71960</v>
      </c>
      <c r="I252" s="4">
        <f t="shared" si="3"/>
        <v>503720</v>
      </c>
    </row>
    <row r="253" spans="1:9" x14ac:dyDescent="0.3">
      <c r="A253" s="1">
        <v>252</v>
      </c>
      <c r="B253" s="2" t="s">
        <v>264</v>
      </c>
      <c r="C253" s="3">
        <v>45178</v>
      </c>
      <c r="D253" s="4" t="s">
        <v>7</v>
      </c>
      <c r="E253" s="4" t="s">
        <v>24</v>
      </c>
      <c r="F253" s="4" t="s">
        <v>15</v>
      </c>
      <c r="G253" s="4">
        <v>6</v>
      </c>
      <c r="H253" s="4">
        <v>24552</v>
      </c>
      <c r="I253" s="4">
        <f t="shared" si="3"/>
        <v>147312</v>
      </c>
    </row>
    <row r="254" spans="1:9" x14ac:dyDescent="0.3">
      <c r="A254" s="1">
        <v>253</v>
      </c>
      <c r="B254" s="2" t="s">
        <v>265</v>
      </c>
      <c r="C254" s="3">
        <v>45179</v>
      </c>
      <c r="D254" s="4" t="s">
        <v>5</v>
      </c>
      <c r="E254" s="4" t="s">
        <v>24</v>
      </c>
      <c r="F254" s="4" t="s">
        <v>1022</v>
      </c>
      <c r="G254" s="4">
        <v>9</v>
      </c>
      <c r="H254" s="4">
        <v>15808</v>
      </c>
      <c r="I254" s="4">
        <f t="shared" si="3"/>
        <v>142272</v>
      </c>
    </row>
    <row r="255" spans="1:9" x14ac:dyDescent="0.3">
      <c r="A255" s="1">
        <v>254</v>
      </c>
      <c r="B255" s="2" t="s">
        <v>266</v>
      </c>
      <c r="C255" s="3">
        <v>45180</v>
      </c>
      <c r="D255" s="4" t="s">
        <v>7</v>
      </c>
      <c r="E255" s="4" t="s">
        <v>9</v>
      </c>
      <c r="F255" s="4" t="s">
        <v>3</v>
      </c>
      <c r="G255" s="4">
        <v>1</v>
      </c>
      <c r="H255" s="4">
        <v>28620</v>
      </c>
      <c r="I255" s="4">
        <f t="shared" si="3"/>
        <v>28620</v>
      </c>
    </row>
    <row r="256" spans="1:9" x14ac:dyDescent="0.3">
      <c r="A256" s="1">
        <v>255</v>
      </c>
      <c r="B256" s="2" t="s">
        <v>267</v>
      </c>
      <c r="C256" s="3">
        <v>45181</v>
      </c>
      <c r="D256" s="4" t="s">
        <v>7</v>
      </c>
      <c r="E256" s="4" t="s">
        <v>24</v>
      </c>
      <c r="F256" s="4" t="s">
        <v>21</v>
      </c>
      <c r="G256" s="4">
        <v>8</v>
      </c>
      <c r="H256" s="4">
        <v>5887</v>
      </c>
      <c r="I256" s="4">
        <f t="shared" si="3"/>
        <v>47096</v>
      </c>
    </row>
    <row r="257" spans="1:9" x14ac:dyDescent="0.3">
      <c r="A257" s="1">
        <v>256</v>
      </c>
      <c r="B257" s="2" t="s">
        <v>268</v>
      </c>
      <c r="C257" s="3">
        <v>45182</v>
      </c>
      <c r="D257" s="4" t="s">
        <v>1</v>
      </c>
      <c r="E257" s="4" t="s">
        <v>11</v>
      </c>
      <c r="F257" s="4" t="s">
        <v>1026</v>
      </c>
      <c r="G257" s="4">
        <v>3</v>
      </c>
      <c r="H257" s="4">
        <v>36802</v>
      </c>
      <c r="I257" s="4">
        <f t="shared" si="3"/>
        <v>110406</v>
      </c>
    </row>
    <row r="258" spans="1:9" x14ac:dyDescent="0.3">
      <c r="A258" s="1">
        <v>257</v>
      </c>
      <c r="B258" s="2" t="s">
        <v>269</v>
      </c>
      <c r="C258" s="3">
        <v>45183</v>
      </c>
      <c r="D258" s="4" t="s">
        <v>1</v>
      </c>
      <c r="E258" s="4" t="s">
        <v>24</v>
      </c>
      <c r="F258" s="4" t="s">
        <v>3</v>
      </c>
      <c r="G258" s="4">
        <v>4</v>
      </c>
      <c r="H258" s="4">
        <v>31049</v>
      </c>
      <c r="I258" s="4">
        <f t="shared" si="3"/>
        <v>124196</v>
      </c>
    </row>
    <row r="259" spans="1:9" x14ac:dyDescent="0.3">
      <c r="A259" s="1">
        <v>258</v>
      </c>
      <c r="B259" s="2" t="s">
        <v>270</v>
      </c>
      <c r="C259" s="3">
        <v>45184</v>
      </c>
      <c r="D259" s="4" t="s">
        <v>19</v>
      </c>
      <c r="E259" s="4" t="s">
        <v>9</v>
      </c>
      <c r="F259" s="4" t="s">
        <v>3</v>
      </c>
      <c r="G259" s="4">
        <v>15</v>
      </c>
      <c r="H259" s="4">
        <v>12846</v>
      </c>
      <c r="I259" s="4">
        <f t="shared" ref="I259:I322" si="4">G259*H259</f>
        <v>192690</v>
      </c>
    </row>
    <row r="260" spans="1:9" x14ac:dyDescent="0.3">
      <c r="A260" s="1">
        <v>259</v>
      </c>
      <c r="B260" s="2" t="s">
        <v>271</v>
      </c>
      <c r="C260" s="3">
        <v>45185</v>
      </c>
      <c r="D260" s="4" t="s">
        <v>5</v>
      </c>
      <c r="E260" s="4" t="s">
        <v>24</v>
      </c>
      <c r="F260" s="4" t="s">
        <v>21</v>
      </c>
      <c r="G260" s="4">
        <v>6</v>
      </c>
      <c r="H260" s="4">
        <v>51220</v>
      </c>
      <c r="I260" s="4">
        <f t="shared" si="4"/>
        <v>307320</v>
      </c>
    </row>
    <row r="261" spans="1:9" x14ac:dyDescent="0.3">
      <c r="A261" s="1">
        <v>260</v>
      </c>
      <c r="B261" s="2" t="s">
        <v>272</v>
      </c>
      <c r="C261" s="3">
        <v>45186</v>
      </c>
      <c r="D261" s="4" t="s">
        <v>1</v>
      </c>
      <c r="E261" s="4" t="s">
        <v>11</v>
      </c>
      <c r="F261" s="4" t="s">
        <v>1022</v>
      </c>
      <c r="G261" s="4">
        <v>15</v>
      </c>
      <c r="H261" s="4">
        <v>51163</v>
      </c>
      <c r="I261" s="4">
        <f t="shared" si="4"/>
        <v>767445</v>
      </c>
    </row>
    <row r="262" spans="1:9" x14ac:dyDescent="0.3">
      <c r="A262" s="1">
        <v>261</v>
      </c>
      <c r="B262" s="2" t="s">
        <v>273</v>
      </c>
      <c r="C262" s="3">
        <v>45187</v>
      </c>
      <c r="D262" s="4" t="s">
        <v>7</v>
      </c>
      <c r="E262" s="4" t="s">
        <v>1040</v>
      </c>
      <c r="F262" s="4" t="s">
        <v>1022</v>
      </c>
      <c r="G262" s="4">
        <v>3</v>
      </c>
      <c r="H262" s="4">
        <v>8765</v>
      </c>
      <c r="I262" s="4">
        <f t="shared" si="4"/>
        <v>26295</v>
      </c>
    </row>
    <row r="263" spans="1:9" x14ac:dyDescent="0.3">
      <c r="A263" s="1">
        <v>262</v>
      </c>
      <c r="B263" s="2" t="s">
        <v>274</v>
      </c>
      <c r="C263" s="3">
        <v>45188</v>
      </c>
      <c r="D263" s="4" t="s">
        <v>19</v>
      </c>
      <c r="E263" s="4" t="s">
        <v>9</v>
      </c>
      <c r="F263" s="4" t="s">
        <v>1022</v>
      </c>
      <c r="G263" s="4">
        <v>14</v>
      </c>
      <c r="H263" s="4">
        <v>50270</v>
      </c>
      <c r="I263" s="4">
        <f t="shared" si="4"/>
        <v>703780</v>
      </c>
    </row>
    <row r="264" spans="1:9" x14ac:dyDescent="0.3">
      <c r="A264" s="1">
        <v>263</v>
      </c>
      <c r="B264" s="2" t="s">
        <v>275</v>
      </c>
      <c r="C264" s="3">
        <v>45189</v>
      </c>
      <c r="D264" s="4" t="s">
        <v>7</v>
      </c>
      <c r="E264" s="4" t="s">
        <v>1040</v>
      </c>
      <c r="F264" s="4" t="s">
        <v>1022</v>
      </c>
      <c r="G264" s="4">
        <v>14</v>
      </c>
      <c r="H264" s="4">
        <v>27931</v>
      </c>
      <c r="I264" s="4">
        <f t="shared" si="4"/>
        <v>391034</v>
      </c>
    </row>
    <row r="265" spans="1:9" x14ac:dyDescent="0.3">
      <c r="A265" s="1">
        <v>264</v>
      </c>
      <c r="B265" s="2" t="s">
        <v>276</v>
      </c>
      <c r="C265" s="3">
        <v>45190</v>
      </c>
      <c r="D265" s="4" t="s">
        <v>7</v>
      </c>
      <c r="E265" s="4" t="s">
        <v>1040</v>
      </c>
      <c r="F265" s="4" t="s">
        <v>15</v>
      </c>
      <c r="G265" s="4">
        <v>4</v>
      </c>
      <c r="H265" s="4">
        <v>60633</v>
      </c>
      <c r="I265" s="4">
        <f t="shared" si="4"/>
        <v>242532</v>
      </c>
    </row>
    <row r="266" spans="1:9" x14ac:dyDescent="0.3">
      <c r="A266" s="1">
        <v>265</v>
      </c>
      <c r="B266" s="2" t="s">
        <v>277</v>
      </c>
      <c r="C266" s="3">
        <v>45191</v>
      </c>
      <c r="D266" s="4" t="s">
        <v>1</v>
      </c>
      <c r="E266" s="4" t="s">
        <v>2</v>
      </c>
      <c r="F266" s="4" t="s">
        <v>1022</v>
      </c>
      <c r="G266" s="4">
        <v>12</v>
      </c>
      <c r="H266" s="4">
        <v>56913</v>
      </c>
      <c r="I266" s="4">
        <f t="shared" si="4"/>
        <v>682956</v>
      </c>
    </row>
    <row r="267" spans="1:9" x14ac:dyDescent="0.3">
      <c r="A267" s="1">
        <v>266</v>
      </c>
      <c r="B267" s="2" t="s">
        <v>278</v>
      </c>
      <c r="C267" s="3">
        <v>45192</v>
      </c>
      <c r="D267" s="4" t="s">
        <v>19</v>
      </c>
      <c r="E267" s="4" t="s">
        <v>1040</v>
      </c>
      <c r="F267" s="4" t="s">
        <v>15</v>
      </c>
      <c r="G267" s="4">
        <v>17</v>
      </c>
      <c r="H267" s="4">
        <v>30991</v>
      </c>
      <c r="I267" s="4">
        <f t="shared" si="4"/>
        <v>526847</v>
      </c>
    </row>
    <row r="268" spans="1:9" x14ac:dyDescent="0.3">
      <c r="A268" s="1">
        <v>267</v>
      </c>
      <c r="B268" s="2" t="s">
        <v>279</v>
      </c>
      <c r="C268" s="3">
        <v>45193</v>
      </c>
      <c r="D268" s="4" t="s">
        <v>5</v>
      </c>
      <c r="E268" s="4" t="s">
        <v>1040</v>
      </c>
      <c r="F268" s="4" t="s">
        <v>15</v>
      </c>
      <c r="G268" s="4">
        <v>7</v>
      </c>
      <c r="H268" s="4">
        <v>59845</v>
      </c>
      <c r="I268" s="4">
        <f t="shared" si="4"/>
        <v>418915</v>
      </c>
    </row>
    <row r="269" spans="1:9" x14ac:dyDescent="0.3">
      <c r="A269" s="1">
        <v>268</v>
      </c>
      <c r="B269" s="2" t="s">
        <v>280</v>
      </c>
      <c r="C269" s="3">
        <v>45194</v>
      </c>
      <c r="D269" s="4" t="s">
        <v>5</v>
      </c>
      <c r="E269" s="4" t="s">
        <v>2</v>
      </c>
      <c r="F269" s="4" t="s">
        <v>1022</v>
      </c>
      <c r="G269" s="4">
        <v>9</v>
      </c>
      <c r="H269" s="4">
        <v>60312</v>
      </c>
      <c r="I269" s="4">
        <f t="shared" si="4"/>
        <v>542808</v>
      </c>
    </row>
    <row r="270" spans="1:9" x14ac:dyDescent="0.3">
      <c r="A270" s="1">
        <v>269</v>
      </c>
      <c r="B270" s="2" t="s">
        <v>281</v>
      </c>
      <c r="C270" s="3">
        <v>45195</v>
      </c>
      <c r="D270" s="4" t="s">
        <v>1</v>
      </c>
      <c r="E270" s="4" t="s">
        <v>9</v>
      </c>
      <c r="F270" s="4" t="s">
        <v>1024</v>
      </c>
      <c r="G270" s="4">
        <v>3</v>
      </c>
      <c r="H270" s="4">
        <v>15561</v>
      </c>
      <c r="I270" s="4">
        <f t="shared" si="4"/>
        <v>46683</v>
      </c>
    </row>
    <row r="271" spans="1:9" x14ac:dyDescent="0.3">
      <c r="A271" s="1">
        <v>270</v>
      </c>
      <c r="B271" s="2" t="s">
        <v>282</v>
      </c>
      <c r="C271" s="3">
        <v>45196</v>
      </c>
      <c r="D271" s="4" t="s">
        <v>1</v>
      </c>
      <c r="E271" s="4" t="s">
        <v>11</v>
      </c>
      <c r="F271" s="4" t="s">
        <v>1026</v>
      </c>
      <c r="G271" s="4">
        <v>13</v>
      </c>
      <c r="H271" s="4">
        <v>21901</v>
      </c>
      <c r="I271" s="4">
        <f t="shared" si="4"/>
        <v>284713</v>
      </c>
    </row>
    <row r="272" spans="1:9" x14ac:dyDescent="0.3">
      <c r="A272" s="1">
        <v>271</v>
      </c>
      <c r="B272" s="2" t="s">
        <v>283</v>
      </c>
      <c r="C272" s="3">
        <v>45197</v>
      </c>
      <c r="D272" s="4" t="s">
        <v>19</v>
      </c>
      <c r="E272" s="4" t="s">
        <v>11</v>
      </c>
      <c r="F272" s="4" t="s">
        <v>3</v>
      </c>
      <c r="G272" s="4">
        <v>15</v>
      </c>
      <c r="H272" s="4">
        <v>67875</v>
      </c>
      <c r="I272" s="4">
        <f t="shared" si="4"/>
        <v>1018125</v>
      </c>
    </row>
    <row r="273" spans="1:9" x14ac:dyDescent="0.3">
      <c r="A273" s="1">
        <v>272</v>
      </c>
      <c r="B273" s="2" t="s">
        <v>284</v>
      </c>
      <c r="C273" s="3">
        <v>45198</v>
      </c>
      <c r="D273" s="4" t="s">
        <v>5</v>
      </c>
      <c r="E273" s="4" t="s">
        <v>24</v>
      </c>
      <c r="F273" s="4" t="s">
        <v>15</v>
      </c>
      <c r="G273" s="4">
        <v>18</v>
      </c>
      <c r="H273" s="4">
        <v>30917</v>
      </c>
      <c r="I273" s="4">
        <f t="shared" si="4"/>
        <v>556506</v>
      </c>
    </row>
    <row r="274" spans="1:9" x14ac:dyDescent="0.3">
      <c r="A274" s="1">
        <v>273</v>
      </c>
      <c r="B274" s="2" t="s">
        <v>285</v>
      </c>
      <c r="C274" s="3">
        <v>45199</v>
      </c>
      <c r="D274" s="4" t="s">
        <v>5</v>
      </c>
      <c r="E274" s="4" t="s">
        <v>1041</v>
      </c>
      <c r="F274" s="4" t="s">
        <v>21</v>
      </c>
      <c r="G274" s="4">
        <v>19</v>
      </c>
      <c r="H274" s="4">
        <v>67120</v>
      </c>
      <c r="I274" s="4">
        <f t="shared" si="4"/>
        <v>1275280</v>
      </c>
    </row>
    <row r="275" spans="1:9" x14ac:dyDescent="0.3">
      <c r="A275" s="1">
        <v>274</v>
      </c>
      <c r="B275" s="2" t="s">
        <v>286</v>
      </c>
      <c r="C275" s="3">
        <v>45200</v>
      </c>
      <c r="D275" s="4" t="s">
        <v>5</v>
      </c>
      <c r="E275" s="4" t="s">
        <v>20</v>
      </c>
      <c r="F275" s="4" t="s">
        <v>21</v>
      </c>
      <c r="G275" s="4">
        <v>1</v>
      </c>
      <c r="H275" s="4">
        <v>6988</v>
      </c>
      <c r="I275" s="4">
        <f t="shared" si="4"/>
        <v>6988</v>
      </c>
    </row>
    <row r="276" spans="1:9" x14ac:dyDescent="0.3">
      <c r="A276" s="1">
        <v>275</v>
      </c>
      <c r="B276" s="2" t="s">
        <v>287</v>
      </c>
      <c r="C276" s="3">
        <v>45201</v>
      </c>
      <c r="D276" s="4" t="s">
        <v>7</v>
      </c>
      <c r="E276" s="4" t="s">
        <v>2</v>
      </c>
      <c r="F276" s="4" t="s">
        <v>1026</v>
      </c>
      <c r="G276" s="4">
        <v>6</v>
      </c>
      <c r="H276" s="4">
        <v>19256</v>
      </c>
      <c r="I276" s="4">
        <f t="shared" si="4"/>
        <v>115536</v>
      </c>
    </row>
    <row r="277" spans="1:9" x14ac:dyDescent="0.3">
      <c r="A277" s="1">
        <v>276</v>
      </c>
      <c r="B277" s="2" t="s">
        <v>288</v>
      </c>
      <c r="C277" s="3">
        <v>45202</v>
      </c>
      <c r="D277" s="4" t="s">
        <v>5</v>
      </c>
      <c r="E277" s="4" t="s">
        <v>24</v>
      </c>
      <c r="F277" s="4" t="s">
        <v>21</v>
      </c>
      <c r="G277" s="4">
        <v>2</v>
      </c>
      <c r="H277" s="4">
        <v>33230</v>
      </c>
      <c r="I277" s="4">
        <f t="shared" si="4"/>
        <v>66460</v>
      </c>
    </row>
    <row r="278" spans="1:9" x14ac:dyDescent="0.3">
      <c r="A278" s="1">
        <v>277</v>
      </c>
      <c r="B278" s="2" t="s">
        <v>289</v>
      </c>
      <c r="C278" s="3">
        <v>45203</v>
      </c>
      <c r="D278" s="4" t="s">
        <v>7</v>
      </c>
      <c r="E278" s="4" t="s">
        <v>11</v>
      </c>
      <c r="F278" s="4" t="s">
        <v>1024</v>
      </c>
      <c r="G278" s="4">
        <v>14</v>
      </c>
      <c r="H278" s="4">
        <v>64778</v>
      </c>
      <c r="I278" s="4">
        <f t="shared" si="4"/>
        <v>906892</v>
      </c>
    </row>
    <row r="279" spans="1:9" x14ac:dyDescent="0.3">
      <c r="A279" s="1">
        <v>278</v>
      </c>
      <c r="B279" s="2" t="s">
        <v>290</v>
      </c>
      <c r="C279" s="3">
        <v>45204</v>
      </c>
      <c r="D279" s="4" t="s">
        <v>19</v>
      </c>
      <c r="E279" s="4" t="s">
        <v>20</v>
      </c>
      <c r="F279" s="4" t="s">
        <v>21</v>
      </c>
      <c r="G279" s="4">
        <v>6</v>
      </c>
      <c r="H279" s="4">
        <v>50833</v>
      </c>
      <c r="I279" s="4">
        <f t="shared" si="4"/>
        <v>304998</v>
      </c>
    </row>
    <row r="280" spans="1:9" x14ac:dyDescent="0.3">
      <c r="A280" s="1">
        <v>279</v>
      </c>
      <c r="B280" s="2" t="s">
        <v>291</v>
      </c>
      <c r="C280" s="3">
        <v>45205</v>
      </c>
      <c r="D280" s="4" t="s">
        <v>7</v>
      </c>
      <c r="E280" s="4" t="s">
        <v>20</v>
      </c>
      <c r="F280" s="4" t="s">
        <v>3</v>
      </c>
      <c r="G280" s="4">
        <v>14</v>
      </c>
      <c r="H280" s="4">
        <v>27625</v>
      </c>
      <c r="I280" s="4">
        <f t="shared" si="4"/>
        <v>386750</v>
      </c>
    </row>
    <row r="281" spans="1:9" x14ac:dyDescent="0.3">
      <c r="A281" s="1">
        <v>280</v>
      </c>
      <c r="B281" s="2" t="s">
        <v>292</v>
      </c>
      <c r="C281" s="3">
        <v>45206</v>
      </c>
      <c r="D281" s="4" t="s">
        <v>19</v>
      </c>
      <c r="E281" s="4" t="s">
        <v>2</v>
      </c>
      <c r="F281" s="4" t="s">
        <v>3</v>
      </c>
      <c r="G281" s="4">
        <v>4</v>
      </c>
      <c r="H281" s="4">
        <v>37088</v>
      </c>
      <c r="I281" s="4">
        <f t="shared" si="4"/>
        <v>148352</v>
      </c>
    </row>
    <row r="282" spans="1:9" x14ac:dyDescent="0.3">
      <c r="A282" s="1">
        <v>281</v>
      </c>
      <c r="B282" s="2" t="s">
        <v>293</v>
      </c>
      <c r="C282" s="3">
        <v>45207</v>
      </c>
      <c r="D282" s="4" t="s">
        <v>5</v>
      </c>
      <c r="E282" s="4" t="s">
        <v>11</v>
      </c>
      <c r="F282" s="4" t="s">
        <v>15</v>
      </c>
      <c r="G282" s="4">
        <v>8</v>
      </c>
      <c r="H282" s="4">
        <v>46167</v>
      </c>
      <c r="I282" s="4">
        <f t="shared" si="4"/>
        <v>369336</v>
      </c>
    </row>
    <row r="283" spans="1:9" x14ac:dyDescent="0.3">
      <c r="A283" s="1">
        <v>282</v>
      </c>
      <c r="B283" s="2" t="s">
        <v>294</v>
      </c>
      <c r="C283" s="3">
        <v>45208</v>
      </c>
      <c r="D283" s="4" t="s">
        <v>5</v>
      </c>
      <c r="E283" s="4" t="s">
        <v>1041</v>
      </c>
      <c r="F283" s="4" t="s">
        <v>1022</v>
      </c>
      <c r="G283" s="4">
        <v>3</v>
      </c>
      <c r="H283" s="4">
        <v>70303</v>
      </c>
      <c r="I283" s="4">
        <f t="shared" si="4"/>
        <v>210909</v>
      </c>
    </row>
    <row r="284" spans="1:9" x14ac:dyDescent="0.3">
      <c r="A284" s="1">
        <v>283</v>
      </c>
      <c r="B284" s="2" t="s">
        <v>295</v>
      </c>
      <c r="C284" s="3">
        <v>45209</v>
      </c>
      <c r="D284" s="4" t="s">
        <v>19</v>
      </c>
      <c r="E284" s="4" t="s">
        <v>20</v>
      </c>
      <c r="F284" s="4" t="s">
        <v>1024</v>
      </c>
      <c r="G284" s="4">
        <v>19</v>
      </c>
      <c r="H284" s="4">
        <v>9117</v>
      </c>
      <c r="I284" s="4">
        <f t="shared" si="4"/>
        <v>173223</v>
      </c>
    </row>
    <row r="285" spans="1:9" x14ac:dyDescent="0.3">
      <c r="A285" s="1">
        <v>284</v>
      </c>
      <c r="B285" s="2" t="s">
        <v>296</v>
      </c>
      <c r="C285" s="3">
        <v>45210</v>
      </c>
      <c r="D285" s="4" t="s">
        <v>1</v>
      </c>
      <c r="E285" s="4" t="s">
        <v>2</v>
      </c>
      <c r="F285" s="4" t="s">
        <v>15</v>
      </c>
      <c r="G285" s="4">
        <v>14</v>
      </c>
      <c r="H285" s="4">
        <v>65710</v>
      </c>
      <c r="I285" s="4">
        <f t="shared" si="4"/>
        <v>919940</v>
      </c>
    </row>
    <row r="286" spans="1:9" x14ac:dyDescent="0.3">
      <c r="A286" s="1">
        <v>285</v>
      </c>
      <c r="B286" s="2" t="s">
        <v>297</v>
      </c>
      <c r="C286" s="3">
        <v>45211</v>
      </c>
      <c r="D286" s="4" t="s">
        <v>19</v>
      </c>
      <c r="E286" s="4" t="s">
        <v>1041</v>
      </c>
      <c r="F286" s="4" t="s">
        <v>1024</v>
      </c>
      <c r="G286" s="4">
        <v>17</v>
      </c>
      <c r="H286" s="4">
        <v>72054</v>
      </c>
      <c r="I286" s="4">
        <f t="shared" si="4"/>
        <v>1224918</v>
      </c>
    </row>
    <row r="287" spans="1:9" x14ac:dyDescent="0.3">
      <c r="A287" s="1">
        <v>286</v>
      </c>
      <c r="B287" s="2" t="s">
        <v>298</v>
      </c>
      <c r="C287" s="3">
        <v>45212</v>
      </c>
      <c r="D287" s="4" t="s">
        <v>1</v>
      </c>
      <c r="E287" s="4" t="s">
        <v>11</v>
      </c>
      <c r="F287" s="4" t="s">
        <v>1022</v>
      </c>
      <c r="G287" s="4">
        <v>8</v>
      </c>
      <c r="H287" s="4">
        <v>35949</v>
      </c>
      <c r="I287" s="4">
        <f t="shared" si="4"/>
        <v>287592</v>
      </c>
    </row>
    <row r="288" spans="1:9" x14ac:dyDescent="0.3">
      <c r="A288" s="1">
        <v>287</v>
      </c>
      <c r="B288" s="2" t="s">
        <v>299</v>
      </c>
      <c r="C288" s="3">
        <v>45213</v>
      </c>
      <c r="D288" s="4" t="s">
        <v>7</v>
      </c>
      <c r="E288" s="4" t="s">
        <v>20</v>
      </c>
      <c r="F288" s="4" t="s">
        <v>21</v>
      </c>
      <c r="G288" s="4">
        <v>14</v>
      </c>
      <c r="H288" s="4">
        <v>27547</v>
      </c>
      <c r="I288" s="4">
        <f t="shared" si="4"/>
        <v>385658</v>
      </c>
    </row>
    <row r="289" spans="1:9" x14ac:dyDescent="0.3">
      <c r="A289" s="1">
        <v>288</v>
      </c>
      <c r="B289" s="2" t="s">
        <v>300</v>
      </c>
      <c r="C289" s="3">
        <v>45214</v>
      </c>
      <c r="D289" s="4" t="s">
        <v>7</v>
      </c>
      <c r="E289" s="4" t="s">
        <v>1041</v>
      </c>
      <c r="F289" s="4" t="s">
        <v>21</v>
      </c>
      <c r="G289" s="4">
        <v>6</v>
      </c>
      <c r="H289" s="4">
        <v>73136</v>
      </c>
      <c r="I289" s="4">
        <f t="shared" si="4"/>
        <v>438816</v>
      </c>
    </row>
    <row r="290" spans="1:9" x14ac:dyDescent="0.3">
      <c r="A290" s="1">
        <v>289</v>
      </c>
      <c r="B290" s="2" t="s">
        <v>301</v>
      </c>
      <c r="C290" s="3">
        <v>45215</v>
      </c>
      <c r="D290" s="4" t="s">
        <v>7</v>
      </c>
      <c r="E290" s="4" t="s">
        <v>1041</v>
      </c>
      <c r="F290" s="4" t="s">
        <v>1022</v>
      </c>
      <c r="G290" s="4">
        <v>16</v>
      </c>
      <c r="H290" s="4">
        <v>69619</v>
      </c>
      <c r="I290" s="4">
        <f t="shared" si="4"/>
        <v>1113904</v>
      </c>
    </row>
    <row r="291" spans="1:9" x14ac:dyDescent="0.3">
      <c r="A291" s="1">
        <v>290</v>
      </c>
      <c r="B291" s="2" t="s">
        <v>302</v>
      </c>
      <c r="C291" s="3">
        <v>45216</v>
      </c>
      <c r="D291" s="4" t="s">
        <v>5</v>
      </c>
      <c r="E291" s="4" t="s">
        <v>1041</v>
      </c>
      <c r="F291" s="4" t="s">
        <v>15</v>
      </c>
      <c r="G291" s="4">
        <v>19</v>
      </c>
      <c r="H291" s="4">
        <v>66842</v>
      </c>
      <c r="I291" s="4">
        <f t="shared" si="4"/>
        <v>1269998</v>
      </c>
    </row>
    <row r="292" spans="1:9" x14ac:dyDescent="0.3">
      <c r="A292" s="1">
        <v>291</v>
      </c>
      <c r="B292" s="2" t="s">
        <v>303</v>
      </c>
      <c r="C292" s="3">
        <v>45217</v>
      </c>
      <c r="D292" s="4" t="s">
        <v>7</v>
      </c>
      <c r="E292" s="4" t="s">
        <v>20</v>
      </c>
      <c r="F292" s="4" t="s">
        <v>1022</v>
      </c>
      <c r="G292" s="4">
        <v>14</v>
      </c>
      <c r="H292" s="4">
        <v>31990</v>
      </c>
      <c r="I292" s="4">
        <f t="shared" si="4"/>
        <v>447860</v>
      </c>
    </row>
    <row r="293" spans="1:9" x14ac:dyDescent="0.3">
      <c r="A293" s="1">
        <v>292</v>
      </c>
      <c r="B293" s="2" t="s">
        <v>304</v>
      </c>
      <c r="C293" s="3">
        <v>45218</v>
      </c>
      <c r="D293" s="4" t="s">
        <v>1</v>
      </c>
      <c r="E293" s="4" t="s">
        <v>20</v>
      </c>
      <c r="F293" s="4" t="s">
        <v>1026</v>
      </c>
      <c r="G293" s="4">
        <v>19</v>
      </c>
      <c r="H293" s="4">
        <v>21193</v>
      </c>
      <c r="I293" s="4">
        <f t="shared" si="4"/>
        <v>402667</v>
      </c>
    </row>
    <row r="294" spans="1:9" x14ac:dyDescent="0.3">
      <c r="A294" s="1">
        <v>293</v>
      </c>
      <c r="B294" s="2" t="s">
        <v>305</v>
      </c>
      <c r="C294" s="3">
        <v>45219</v>
      </c>
      <c r="D294" s="4" t="s">
        <v>7</v>
      </c>
      <c r="E294" s="4" t="s">
        <v>24</v>
      </c>
      <c r="F294" s="4" t="s">
        <v>3</v>
      </c>
      <c r="G294" s="4">
        <v>3</v>
      </c>
      <c r="H294" s="4">
        <v>35109</v>
      </c>
      <c r="I294" s="4">
        <f t="shared" si="4"/>
        <v>105327</v>
      </c>
    </row>
    <row r="295" spans="1:9" x14ac:dyDescent="0.3">
      <c r="A295" s="1">
        <v>294</v>
      </c>
      <c r="B295" s="2" t="s">
        <v>306</v>
      </c>
      <c r="C295" s="3">
        <v>45220</v>
      </c>
      <c r="D295" s="4" t="s">
        <v>19</v>
      </c>
      <c r="E295" s="4" t="s">
        <v>11</v>
      </c>
      <c r="F295" s="4" t="s">
        <v>15</v>
      </c>
      <c r="G295" s="4">
        <v>10</v>
      </c>
      <c r="H295" s="4">
        <v>24233</v>
      </c>
      <c r="I295" s="4">
        <f t="shared" si="4"/>
        <v>242330</v>
      </c>
    </row>
    <row r="296" spans="1:9" x14ac:dyDescent="0.3">
      <c r="A296" s="1">
        <v>295</v>
      </c>
      <c r="B296" s="2" t="s">
        <v>307</v>
      </c>
      <c r="C296" s="3">
        <v>45221</v>
      </c>
      <c r="D296" s="4" t="s">
        <v>19</v>
      </c>
      <c r="E296" s="4" t="s">
        <v>2</v>
      </c>
      <c r="F296" s="4" t="s">
        <v>1024</v>
      </c>
      <c r="G296" s="4">
        <v>19</v>
      </c>
      <c r="H296" s="4">
        <v>39510</v>
      </c>
      <c r="I296" s="4">
        <f t="shared" si="4"/>
        <v>750690</v>
      </c>
    </row>
    <row r="297" spans="1:9" x14ac:dyDescent="0.3">
      <c r="A297" s="1">
        <v>296</v>
      </c>
      <c r="B297" s="2" t="s">
        <v>308</v>
      </c>
      <c r="C297" s="3">
        <v>45222</v>
      </c>
      <c r="D297" s="4" t="s">
        <v>5</v>
      </c>
      <c r="E297" s="4" t="s">
        <v>1041</v>
      </c>
      <c r="F297" s="4" t="s">
        <v>1026</v>
      </c>
      <c r="G297" s="4">
        <v>9</v>
      </c>
      <c r="H297" s="4">
        <v>6306</v>
      </c>
      <c r="I297" s="4">
        <f t="shared" si="4"/>
        <v>56754</v>
      </c>
    </row>
    <row r="298" spans="1:9" x14ac:dyDescent="0.3">
      <c r="A298" s="1">
        <v>297</v>
      </c>
      <c r="B298" s="2" t="s">
        <v>309</v>
      </c>
      <c r="C298" s="3">
        <v>45223</v>
      </c>
      <c r="D298" s="4" t="s">
        <v>19</v>
      </c>
      <c r="E298" s="4" t="s">
        <v>24</v>
      </c>
      <c r="F298" s="4" t="s">
        <v>15</v>
      </c>
      <c r="G298" s="4">
        <v>13</v>
      </c>
      <c r="H298" s="4">
        <v>8849</v>
      </c>
      <c r="I298" s="4">
        <f t="shared" si="4"/>
        <v>115037</v>
      </c>
    </row>
    <row r="299" spans="1:9" x14ac:dyDescent="0.3">
      <c r="A299" s="1">
        <v>298</v>
      </c>
      <c r="B299" s="2" t="s">
        <v>310</v>
      </c>
      <c r="C299" s="3">
        <v>45224</v>
      </c>
      <c r="D299" s="4" t="s">
        <v>1</v>
      </c>
      <c r="E299" s="4" t="s">
        <v>2</v>
      </c>
      <c r="F299" s="4" t="s">
        <v>1022</v>
      </c>
      <c r="G299" s="4">
        <v>7</v>
      </c>
      <c r="H299" s="4">
        <v>17360</v>
      </c>
      <c r="I299" s="4">
        <f t="shared" si="4"/>
        <v>121520</v>
      </c>
    </row>
    <row r="300" spans="1:9" x14ac:dyDescent="0.3">
      <c r="A300" s="1">
        <v>299</v>
      </c>
      <c r="B300" s="2" t="s">
        <v>311</v>
      </c>
      <c r="C300" s="3">
        <v>45225</v>
      </c>
      <c r="D300" s="4" t="s">
        <v>7</v>
      </c>
      <c r="E300" s="4" t="s">
        <v>24</v>
      </c>
      <c r="F300" s="4" t="s">
        <v>1022</v>
      </c>
      <c r="G300" s="4">
        <v>14</v>
      </c>
      <c r="H300" s="4">
        <v>50800</v>
      </c>
      <c r="I300" s="4">
        <f t="shared" si="4"/>
        <v>711200</v>
      </c>
    </row>
    <row r="301" spans="1:9" x14ac:dyDescent="0.3">
      <c r="A301" s="1">
        <v>300</v>
      </c>
      <c r="B301" s="2" t="s">
        <v>312</v>
      </c>
      <c r="C301" s="3">
        <v>45226</v>
      </c>
      <c r="D301" s="4" t="s">
        <v>5</v>
      </c>
      <c r="E301" s="4" t="s">
        <v>20</v>
      </c>
      <c r="F301" s="4" t="s">
        <v>1022</v>
      </c>
      <c r="G301" s="4">
        <v>9</v>
      </c>
      <c r="H301" s="4">
        <v>41963</v>
      </c>
      <c r="I301" s="4">
        <f t="shared" si="4"/>
        <v>377667</v>
      </c>
    </row>
    <row r="302" spans="1:9" x14ac:dyDescent="0.3">
      <c r="A302" s="1">
        <v>301</v>
      </c>
      <c r="B302" s="2" t="s">
        <v>313</v>
      </c>
      <c r="C302" s="3">
        <v>45227</v>
      </c>
      <c r="D302" s="4" t="s">
        <v>7</v>
      </c>
      <c r="E302" s="4" t="s">
        <v>1041</v>
      </c>
      <c r="F302" s="4" t="s">
        <v>1022</v>
      </c>
      <c r="G302" s="4">
        <v>19</v>
      </c>
      <c r="H302" s="4">
        <v>59330</v>
      </c>
      <c r="I302" s="4">
        <f t="shared" si="4"/>
        <v>1127270</v>
      </c>
    </row>
    <row r="303" spans="1:9" x14ac:dyDescent="0.3">
      <c r="A303" s="1">
        <v>302</v>
      </c>
      <c r="B303" s="2" t="s">
        <v>314</v>
      </c>
      <c r="C303" s="3">
        <v>45228</v>
      </c>
      <c r="D303" s="4" t="s">
        <v>7</v>
      </c>
      <c r="E303" s="4" t="s">
        <v>2</v>
      </c>
      <c r="F303" s="4" t="s">
        <v>1024</v>
      </c>
      <c r="G303" s="4">
        <v>15</v>
      </c>
      <c r="H303" s="4">
        <v>56707</v>
      </c>
      <c r="I303" s="4">
        <f t="shared" si="4"/>
        <v>850605</v>
      </c>
    </row>
    <row r="304" spans="1:9" x14ac:dyDescent="0.3">
      <c r="A304" s="1">
        <v>303</v>
      </c>
      <c r="B304" s="2" t="s">
        <v>315</v>
      </c>
      <c r="C304" s="3">
        <v>45229</v>
      </c>
      <c r="D304" s="4" t="s">
        <v>1</v>
      </c>
      <c r="E304" s="4" t="s">
        <v>2</v>
      </c>
      <c r="F304" s="4" t="s">
        <v>1026</v>
      </c>
      <c r="G304" s="4">
        <v>14</v>
      </c>
      <c r="H304" s="4">
        <v>23689</v>
      </c>
      <c r="I304" s="4">
        <f t="shared" si="4"/>
        <v>331646</v>
      </c>
    </row>
    <row r="305" spans="1:9" x14ac:dyDescent="0.3">
      <c r="A305" s="1">
        <v>304</v>
      </c>
      <c r="B305" s="2" t="s">
        <v>316</v>
      </c>
      <c r="C305" s="3">
        <v>45230</v>
      </c>
      <c r="D305" s="4" t="s">
        <v>19</v>
      </c>
      <c r="E305" s="4" t="s">
        <v>2</v>
      </c>
      <c r="F305" s="4" t="s">
        <v>21</v>
      </c>
      <c r="G305" s="4">
        <v>6</v>
      </c>
      <c r="H305" s="4">
        <v>34084</v>
      </c>
      <c r="I305" s="4">
        <f t="shared" si="4"/>
        <v>204504</v>
      </c>
    </row>
    <row r="306" spans="1:9" x14ac:dyDescent="0.3">
      <c r="A306" s="1">
        <v>305</v>
      </c>
      <c r="B306" s="2" t="s">
        <v>317</v>
      </c>
      <c r="C306" s="3">
        <v>45231</v>
      </c>
      <c r="D306" s="4" t="s">
        <v>19</v>
      </c>
      <c r="E306" s="4" t="s">
        <v>2</v>
      </c>
      <c r="F306" s="4" t="s">
        <v>3</v>
      </c>
      <c r="G306" s="4">
        <v>4</v>
      </c>
      <c r="H306" s="4">
        <v>45387</v>
      </c>
      <c r="I306" s="4">
        <f t="shared" si="4"/>
        <v>181548</v>
      </c>
    </row>
    <row r="307" spans="1:9" x14ac:dyDescent="0.3">
      <c r="A307" s="1">
        <v>306</v>
      </c>
      <c r="B307" s="2" t="s">
        <v>318</v>
      </c>
      <c r="C307" s="3">
        <v>45232</v>
      </c>
      <c r="D307" s="4" t="s">
        <v>7</v>
      </c>
      <c r="E307" s="4" t="s">
        <v>2</v>
      </c>
      <c r="F307" s="4" t="s">
        <v>1024</v>
      </c>
      <c r="G307" s="4">
        <v>8</v>
      </c>
      <c r="H307" s="4">
        <v>7642</v>
      </c>
      <c r="I307" s="4">
        <f t="shared" si="4"/>
        <v>61136</v>
      </c>
    </row>
    <row r="308" spans="1:9" x14ac:dyDescent="0.3">
      <c r="A308" s="1">
        <v>307</v>
      </c>
      <c r="B308" s="2" t="s">
        <v>319</v>
      </c>
      <c r="C308" s="3">
        <v>45233</v>
      </c>
      <c r="D308" s="4" t="s">
        <v>5</v>
      </c>
      <c r="E308" s="4" t="s">
        <v>24</v>
      </c>
      <c r="F308" s="4" t="s">
        <v>1024</v>
      </c>
      <c r="G308" s="4">
        <v>17</v>
      </c>
      <c r="H308" s="4">
        <v>47137</v>
      </c>
      <c r="I308" s="4">
        <f t="shared" si="4"/>
        <v>801329</v>
      </c>
    </row>
    <row r="309" spans="1:9" x14ac:dyDescent="0.3">
      <c r="A309" s="1">
        <v>308</v>
      </c>
      <c r="B309" s="2" t="s">
        <v>320</v>
      </c>
      <c r="C309" s="3">
        <v>45234</v>
      </c>
      <c r="D309" s="4" t="s">
        <v>19</v>
      </c>
      <c r="E309" s="4" t="s">
        <v>1041</v>
      </c>
      <c r="F309" s="4" t="s">
        <v>21</v>
      </c>
      <c r="G309" s="4">
        <v>9</v>
      </c>
      <c r="H309" s="4">
        <v>60561</v>
      </c>
      <c r="I309" s="4">
        <f t="shared" si="4"/>
        <v>545049</v>
      </c>
    </row>
    <row r="310" spans="1:9" x14ac:dyDescent="0.3">
      <c r="A310" s="1">
        <v>309</v>
      </c>
      <c r="B310" s="2" t="s">
        <v>321</v>
      </c>
      <c r="C310" s="3">
        <v>45235</v>
      </c>
      <c r="D310" s="4" t="s">
        <v>5</v>
      </c>
      <c r="E310" s="4" t="s">
        <v>20</v>
      </c>
      <c r="F310" s="4" t="s">
        <v>1029</v>
      </c>
      <c r="G310" s="4">
        <v>1</v>
      </c>
      <c r="H310" s="4">
        <v>67260</v>
      </c>
      <c r="I310" s="4">
        <f t="shared" si="4"/>
        <v>67260</v>
      </c>
    </row>
    <row r="311" spans="1:9" x14ac:dyDescent="0.3">
      <c r="A311" s="1">
        <v>310</v>
      </c>
      <c r="B311" s="2" t="s">
        <v>322</v>
      </c>
      <c r="C311" s="3">
        <v>45236</v>
      </c>
      <c r="D311" s="4" t="s">
        <v>19</v>
      </c>
      <c r="E311" s="4" t="s">
        <v>20</v>
      </c>
      <c r="F311" s="4" t="s">
        <v>3</v>
      </c>
      <c r="G311" s="4">
        <v>14</v>
      </c>
      <c r="H311" s="4">
        <v>20438</v>
      </c>
      <c r="I311" s="4">
        <f t="shared" si="4"/>
        <v>286132</v>
      </c>
    </row>
    <row r="312" spans="1:9" x14ac:dyDescent="0.3">
      <c r="A312" s="1">
        <v>311</v>
      </c>
      <c r="B312" s="2" t="s">
        <v>323</v>
      </c>
      <c r="C312" s="3">
        <v>45237</v>
      </c>
      <c r="D312" s="4" t="s">
        <v>5</v>
      </c>
      <c r="E312" s="4" t="s">
        <v>20</v>
      </c>
      <c r="F312" s="4" t="s">
        <v>3</v>
      </c>
      <c r="G312" s="4">
        <v>11</v>
      </c>
      <c r="H312" s="4">
        <v>53442</v>
      </c>
      <c r="I312" s="4">
        <f t="shared" si="4"/>
        <v>587862</v>
      </c>
    </row>
    <row r="313" spans="1:9" x14ac:dyDescent="0.3">
      <c r="A313" s="1">
        <v>312</v>
      </c>
      <c r="B313" s="2" t="s">
        <v>324</v>
      </c>
      <c r="C313" s="3">
        <v>45238</v>
      </c>
      <c r="D313" s="4" t="s">
        <v>1</v>
      </c>
      <c r="E313" s="4" t="s">
        <v>20</v>
      </c>
      <c r="F313" s="4" t="s">
        <v>1029</v>
      </c>
      <c r="G313" s="4">
        <v>3</v>
      </c>
      <c r="H313" s="4">
        <v>7994</v>
      </c>
      <c r="I313" s="4">
        <f t="shared" si="4"/>
        <v>23982</v>
      </c>
    </row>
    <row r="314" spans="1:9" x14ac:dyDescent="0.3">
      <c r="A314" s="1">
        <v>313</v>
      </c>
      <c r="B314" s="2" t="s">
        <v>325</v>
      </c>
      <c r="C314" s="3">
        <v>45239</v>
      </c>
      <c r="D314" s="4" t="s">
        <v>5</v>
      </c>
      <c r="E314" s="4" t="s">
        <v>24</v>
      </c>
      <c r="F314" s="4" t="s">
        <v>1022</v>
      </c>
      <c r="G314" s="4">
        <v>9</v>
      </c>
      <c r="H314" s="4">
        <v>6813</v>
      </c>
      <c r="I314" s="4">
        <f t="shared" si="4"/>
        <v>61317</v>
      </c>
    </row>
    <row r="315" spans="1:9" x14ac:dyDescent="0.3">
      <c r="A315" s="1">
        <v>314</v>
      </c>
      <c r="B315" s="2" t="s">
        <v>326</v>
      </c>
      <c r="C315" s="3">
        <v>45240</v>
      </c>
      <c r="D315" s="4" t="s">
        <v>1</v>
      </c>
      <c r="E315" s="4" t="s">
        <v>11</v>
      </c>
      <c r="F315" s="4" t="s">
        <v>1024</v>
      </c>
      <c r="G315" s="4">
        <v>14</v>
      </c>
      <c r="H315" s="4">
        <v>60276</v>
      </c>
      <c r="I315" s="4">
        <f t="shared" si="4"/>
        <v>843864</v>
      </c>
    </row>
    <row r="316" spans="1:9" x14ac:dyDescent="0.3">
      <c r="A316" s="1">
        <v>315</v>
      </c>
      <c r="B316" s="2" t="s">
        <v>327</v>
      </c>
      <c r="C316" s="3">
        <v>45241</v>
      </c>
      <c r="D316" s="4" t="s">
        <v>1</v>
      </c>
      <c r="E316" s="4" t="s">
        <v>1041</v>
      </c>
      <c r="F316" s="4" t="s">
        <v>15</v>
      </c>
      <c r="G316" s="4">
        <v>9</v>
      </c>
      <c r="H316" s="4">
        <v>46243</v>
      </c>
      <c r="I316" s="4">
        <f t="shared" si="4"/>
        <v>416187</v>
      </c>
    </row>
    <row r="317" spans="1:9" x14ac:dyDescent="0.3">
      <c r="A317" s="1">
        <v>316</v>
      </c>
      <c r="B317" s="2" t="s">
        <v>328</v>
      </c>
      <c r="C317" s="3">
        <v>45242</v>
      </c>
      <c r="D317" s="4" t="s">
        <v>5</v>
      </c>
      <c r="E317" s="4" t="s">
        <v>2</v>
      </c>
      <c r="F317" s="4" t="s">
        <v>3</v>
      </c>
      <c r="G317" s="4">
        <v>4</v>
      </c>
      <c r="H317" s="4">
        <v>67912</v>
      </c>
      <c r="I317" s="4">
        <f t="shared" si="4"/>
        <v>271648</v>
      </c>
    </row>
    <row r="318" spans="1:9" x14ac:dyDescent="0.3">
      <c r="A318" s="1">
        <v>317</v>
      </c>
      <c r="B318" s="2" t="s">
        <v>329</v>
      </c>
      <c r="C318" s="3">
        <v>45243</v>
      </c>
      <c r="D318" s="4" t="s">
        <v>1</v>
      </c>
      <c r="E318" s="4" t="s">
        <v>1040</v>
      </c>
      <c r="F318" s="4" t="s">
        <v>3</v>
      </c>
      <c r="G318" s="4">
        <v>4</v>
      </c>
      <c r="H318" s="4">
        <v>65272</v>
      </c>
      <c r="I318" s="4">
        <f t="shared" si="4"/>
        <v>261088</v>
      </c>
    </row>
    <row r="319" spans="1:9" x14ac:dyDescent="0.3">
      <c r="A319" s="1">
        <v>318</v>
      </c>
      <c r="B319" s="2" t="s">
        <v>330</v>
      </c>
      <c r="C319" s="3">
        <v>45244</v>
      </c>
      <c r="D319" s="4" t="s">
        <v>7</v>
      </c>
      <c r="E319" s="4" t="s">
        <v>1040</v>
      </c>
      <c r="F319" s="4" t="s">
        <v>1029</v>
      </c>
      <c r="G319" s="4">
        <v>8</v>
      </c>
      <c r="H319" s="4">
        <v>47051</v>
      </c>
      <c r="I319" s="4">
        <f t="shared" si="4"/>
        <v>376408</v>
      </c>
    </row>
    <row r="320" spans="1:9" x14ac:dyDescent="0.3">
      <c r="A320" s="1">
        <v>319</v>
      </c>
      <c r="B320" s="2" t="s">
        <v>331</v>
      </c>
      <c r="C320" s="3">
        <v>45245</v>
      </c>
      <c r="D320" s="4" t="s">
        <v>1</v>
      </c>
      <c r="E320" s="4" t="s">
        <v>1040</v>
      </c>
      <c r="F320" s="4" t="s">
        <v>1026</v>
      </c>
      <c r="G320" s="4">
        <v>2</v>
      </c>
      <c r="H320" s="4">
        <v>70618</v>
      </c>
      <c r="I320" s="4">
        <f t="shared" si="4"/>
        <v>141236</v>
      </c>
    </row>
    <row r="321" spans="1:9" x14ac:dyDescent="0.3">
      <c r="A321" s="1">
        <v>320</v>
      </c>
      <c r="B321" s="2" t="s">
        <v>332</v>
      </c>
      <c r="C321" s="3">
        <v>45246</v>
      </c>
      <c r="D321" s="4" t="s">
        <v>19</v>
      </c>
      <c r="E321" s="4" t="s">
        <v>1041</v>
      </c>
      <c r="F321" s="4" t="s">
        <v>15</v>
      </c>
      <c r="G321" s="4">
        <v>9</v>
      </c>
      <c r="H321" s="4">
        <v>6920</v>
      </c>
      <c r="I321" s="4">
        <f t="shared" si="4"/>
        <v>62280</v>
      </c>
    </row>
    <row r="322" spans="1:9" x14ac:dyDescent="0.3">
      <c r="A322" s="1">
        <v>321</v>
      </c>
      <c r="B322" s="2" t="s">
        <v>333</v>
      </c>
      <c r="C322" s="3">
        <v>45247</v>
      </c>
      <c r="D322" s="4" t="s">
        <v>5</v>
      </c>
      <c r="E322" s="4" t="s">
        <v>2</v>
      </c>
      <c r="F322" s="4" t="s">
        <v>15</v>
      </c>
      <c r="G322" s="4">
        <v>14</v>
      </c>
      <c r="H322" s="4">
        <v>7093</v>
      </c>
      <c r="I322" s="4">
        <f t="shared" si="4"/>
        <v>99302</v>
      </c>
    </row>
    <row r="323" spans="1:9" x14ac:dyDescent="0.3">
      <c r="A323" s="1">
        <v>322</v>
      </c>
      <c r="B323" s="2" t="s">
        <v>334</v>
      </c>
      <c r="C323" s="3">
        <v>45248</v>
      </c>
      <c r="D323" s="4" t="s">
        <v>7</v>
      </c>
      <c r="E323" s="4" t="s">
        <v>2</v>
      </c>
      <c r="F323" s="4" t="s">
        <v>3</v>
      </c>
      <c r="G323" s="4">
        <v>9</v>
      </c>
      <c r="H323" s="4">
        <v>17905</v>
      </c>
      <c r="I323" s="4">
        <f t="shared" ref="I323:I386" si="5">G323*H323</f>
        <v>161145</v>
      </c>
    </row>
    <row r="324" spans="1:9" x14ac:dyDescent="0.3">
      <c r="A324" s="1">
        <v>323</v>
      </c>
      <c r="B324" s="2" t="s">
        <v>335</v>
      </c>
      <c r="C324" s="3">
        <v>45249</v>
      </c>
      <c r="D324" s="4" t="s">
        <v>5</v>
      </c>
      <c r="E324" s="4" t="s">
        <v>1041</v>
      </c>
      <c r="F324" s="4" t="s">
        <v>1022</v>
      </c>
      <c r="G324" s="4">
        <v>16</v>
      </c>
      <c r="H324" s="4">
        <v>29351</v>
      </c>
      <c r="I324" s="4">
        <f t="shared" si="5"/>
        <v>469616</v>
      </c>
    </row>
    <row r="325" spans="1:9" x14ac:dyDescent="0.3">
      <c r="A325" s="1">
        <v>324</v>
      </c>
      <c r="B325" s="2" t="s">
        <v>336</v>
      </c>
      <c r="C325" s="3">
        <v>45250</v>
      </c>
      <c r="D325" s="4" t="s">
        <v>19</v>
      </c>
      <c r="E325" s="4" t="s">
        <v>1041</v>
      </c>
      <c r="F325" s="4" t="s">
        <v>1026</v>
      </c>
      <c r="G325" s="4">
        <v>17</v>
      </c>
      <c r="H325" s="4">
        <v>35981</v>
      </c>
      <c r="I325" s="4">
        <f t="shared" si="5"/>
        <v>611677</v>
      </c>
    </row>
    <row r="326" spans="1:9" x14ac:dyDescent="0.3">
      <c r="A326" s="1">
        <v>325</v>
      </c>
      <c r="B326" s="2" t="s">
        <v>337</v>
      </c>
      <c r="C326" s="3">
        <v>45251</v>
      </c>
      <c r="D326" s="4" t="s">
        <v>19</v>
      </c>
      <c r="E326" s="4" t="s">
        <v>1040</v>
      </c>
      <c r="F326" s="4" t="s">
        <v>15</v>
      </c>
      <c r="G326" s="4">
        <v>16</v>
      </c>
      <c r="H326" s="4">
        <v>24874</v>
      </c>
      <c r="I326" s="4">
        <f t="shared" si="5"/>
        <v>397984</v>
      </c>
    </row>
    <row r="327" spans="1:9" x14ac:dyDescent="0.3">
      <c r="A327" s="1">
        <v>326</v>
      </c>
      <c r="B327" s="2" t="s">
        <v>338</v>
      </c>
      <c r="C327" s="3">
        <v>45252</v>
      </c>
      <c r="D327" s="4" t="s">
        <v>19</v>
      </c>
      <c r="E327" s="4" t="s">
        <v>2</v>
      </c>
      <c r="F327" s="4" t="s">
        <v>3</v>
      </c>
      <c r="G327" s="4">
        <v>12</v>
      </c>
      <c r="H327" s="4">
        <v>55931</v>
      </c>
      <c r="I327" s="4">
        <f t="shared" si="5"/>
        <v>671172</v>
      </c>
    </row>
    <row r="328" spans="1:9" x14ac:dyDescent="0.3">
      <c r="A328" s="1">
        <v>327</v>
      </c>
      <c r="B328" s="2" t="s">
        <v>339</v>
      </c>
      <c r="C328" s="3">
        <v>45253</v>
      </c>
      <c r="D328" s="4" t="s">
        <v>1</v>
      </c>
      <c r="E328" s="4" t="s">
        <v>1040</v>
      </c>
      <c r="F328" s="4" t="s">
        <v>15</v>
      </c>
      <c r="G328" s="4">
        <v>3</v>
      </c>
      <c r="H328" s="4">
        <v>12674</v>
      </c>
      <c r="I328" s="4">
        <f t="shared" si="5"/>
        <v>38022</v>
      </c>
    </row>
    <row r="329" spans="1:9" x14ac:dyDescent="0.3">
      <c r="A329" s="1">
        <v>328</v>
      </c>
      <c r="B329" s="2" t="s">
        <v>340</v>
      </c>
      <c r="C329" s="3">
        <v>45254</v>
      </c>
      <c r="D329" s="4" t="s">
        <v>1</v>
      </c>
      <c r="E329" s="4" t="s">
        <v>24</v>
      </c>
      <c r="F329" s="4" t="s">
        <v>1026</v>
      </c>
      <c r="G329" s="4">
        <v>11</v>
      </c>
      <c r="H329" s="4">
        <v>55516</v>
      </c>
      <c r="I329" s="4">
        <f t="shared" si="5"/>
        <v>610676</v>
      </c>
    </row>
    <row r="330" spans="1:9" x14ac:dyDescent="0.3">
      <c r="A330" s="1">
        <v>329</v>
      </c>
      <c r="B330" s="2" t="s">
        <v>341</v>
      </c>
      <c r="C330" s="3">
        <v>45255</v>
      </c>
      <c r="D330" s="4" t="s">
        <v>5</v>
      </c>
      <c r="E330" s="4" t="s">
        <v>24</v>
      </c>
      <c r="F330" s="4" t="s">
        <v>1026</v>
      </c>
      <c r="G330" s="4">
        <v>14</v>
      </c>
      <c r="H330" s="4">
        <v>65686</v>
      </c>
      <c r="I330" s="4">
        <f t="shared" si="5"/>
        <v>919604</v>
      </c>
    </row>
    <row r="331" spans="1:9" x14ac:dyDescent="0.3">
      <c r="A331" s="1">
        <v>330</v>
      </c>
      <c r="B331" s="2" t="s">
        <v>342</v>
      </c>
      <c r="C331" s="3">
        <v>45256</v>
      </c>
      <c r="D331" s="4" t="s">
        <v>5</v>
      </c>
      <c r="E331" s="4" t="s">
        <v>1041</v>
      </c>
      <c r="F331" s="4" t="s">
        <v>1024</v>
      </c>
      <c r="G331" s="4">
        <v>18</v>
      </c>
      <c r="H331" s="4">
        <v>74212</v>
      </c>
      <c r="I331" s="4">
        <f t="shared" si="5"/>
        <v>1335816</v>
      </c>
    </row>
    <row r="332" spans="1:9" x14ac:dyDescent="0.3">
      <c r="A332" s="1">
        <v>331</v>
      </c>
      <c r="B332" s="2" t="s">
        <v>343</v>
      </c>
      <c r="C332" s="3">
        <v>45257</v>
      </c>
      <c r="D332" s="4" t="s">
        <v>7</v>
      </c>
      <c r="E332" s="4" t="s">
        <v>1040</v>
      </c>
      <c r="F332" s="4" t="s">
        <v>1029</v>
      </c>
      <c r="G332" s="4">
        <v>5</v>
      </c>
      <c r="H332" s="4">
        <v>7426</v>
      </c>
      <c r="I332" s="4">
        <f t="shared" si="5"/>
        <v>37130</v>
      </c>
    </row>
    <row r="333" spans="1:9" x14ac:dyDescent="0.3">
      <c r="A333" s="1">
        <v>332</v>
      </c>
      <c r="B333" s="2" t="s">
        <v>344</v>
      </c>
      <c r="C333" s="3">
        <v>45258</v>
      </c>
      <c r="D333" s="4" t="s">
        <v>7</v>
      </c>
      <c r="E333" s="4" t="s">
        <v>24</v>
      </c>
      <c r="F333" s="4" t="s">
        <v>1029</v>
      </c>
      <c r="G333" s="4">
        <v>16</v>
      </c>
      <c r="H333" s="4">
        <v>73498</v>
      </c>
      <c r="I333" s="4">
        <f t="shared" si="5"/>
        <v>1175968</v>
      </c>
    </row>
    <row r="334" spans="1:9" x14ac:dyDescent="0.3">
      <c r="A334" s="1">
        <v>333</v>
      </c>
      <c r="B334" s="2" t="s">
        <v>345</v>
      </c>
      <c r="C334" s="3">
        <v>45259</v>
      </c>
      <c r="D334" s="4" t="s">
        <v>5</v>
      </c>
      <c r="E334" s="4" t="s">
        <v>2</v>
      </c>
      <c r="F334" s="4" t="s">
        <v>3</v>
      </c>
      <c r="G334" s="4">
        <v>5</v>
      </c>
      <c r="H334" s="4">
        <v>34943</v>
      </c>
      <c r="I334" s="4">
        <f t="shared" si="5"/>
        <v>174715</v>
      </c>
    </row>
    <row r="335" spans="1:9" x14ac:dyDescent="0.3">
      <c r="A335" s="1">
        <v>334</v>
      </c>
      <c r="B335" s="2" t="s">
        <v>346</v>
      </c>
      <c r="C335" s="3">
        <v>45260</v>
      </c>
      <c r="D335" s="4" t="s">
        <v>1</v>
      </c>
      <c r="E335" s="4" t="s">
        <v>9</v>
      </c>
      <c r="F335" s="4" t="s">
        <v>1026</v>
      </c>
      <c r="G335" s="4">
        <v>3</v>
      </c>
      <c r="H335" s="4">
        <v>71395</v>
      </c>
      <c r="I335" s="4">
        <f t="shared" si="5"/>
        <v>214185</v>
      </c>
    </row>
    <row r="336" spans="1:9" x14ac:dyDescent="0.3">
      <c r="A336" s="1">
        <v>335</v>
      </c>
      <c r="B336" s="2" t="s">
        <v>347</v>
      </c>
      <c r="C336" s="3">
        <v>45261</v>
      </c>
      <c r="D336" s="4" t="s">
        <v>19</v>
      </c>
      <c r="E336" s="4" t="s">
        <v>1040</v>
      </c>
      <c r="F336" s="4" t="s">
        <v>1024</v>
      </c>
      <c r="G336" s="4">
        <v>12</v>
      </c>
      <c r="H336" s="4">
        <v>49816</v>
      </c>
      <c r="I336" s="4">
        <f t="shared" si="5"/>
        <v>597792</v>
      </c>
    </row>
    <row r="337" spans="1:9" x14ac:dyDescent="0.3">
      <c r="A337" s="1">
        <v>336</v>
      </c>
      <c r="B337" s="2" t="s">
        <v>348</v>
      </c>
      <c r="C337" s="3">
        <v>45262</v>
      </c>
      <c r="D337" s="4" t="s">
        <v>5</v>
      </c>
      <c r="E337" s="4" t="s">
        <v>9</v>
      </c>
      <c r="F337" s="4" t="s">
        <v>1024</v>
      </c>
      <c r="G337" s="4">
        <v>1</v>
      </c>
      <c r="H337" s="4">
        <v>9138</v>
      </c>
      <c r="I337" s="4">
        <f t="shared" si="5"/>
        <v>9138</v>
      </c>
    </row>
    <row r="338" spans="1:9" x14ac:dyDescent="0.3">
      <c r="A338" s="1">
        <v>337</v>
      </c>
      <c r="B338" s="2" t="s">
        <v>349</v>
      </c>
      <c r="C338" s="3">
        <v>45263</v>
      </c>
      <c r="D338" s="4" t="s">
        <v>7</v>
      </c>
      <c r="E338" s="4" t="s">
        <v>1040</v>
      </c>
      <c r="F338" s="4" t="s">
        <v>15</v>
      </c>
      <c r="G338" s="4">
        <v>9</v>
      </c>
      <c r="H338" s="4">
        <v>9017</v>
      </c>
      <c r="I338" s="4">
        <f t="shared" si="5"/>
        <v>81153</v>
      </c>
    </row>
    <row r="339" spans="1:9" x14ac:dyDescent="0.3">
      <c r="A339" s="1">
        <v>338</v>
      </c>
      <c r="B339" s="2" t="s">
        <v>350</v>
      </c>
      <c r="C339" s="3">
        <v>45264</v>
      </c>
      <c r="D339" s="4" t="s">
        <v>1</v>
      </c>
      <c r="E339" s="4" t="s">
        <v>9</v>
      </c>
      <c r="F339" s="4" t="s">
        <v>15</v>
      </c>
      <c r="G339" s="4">
        <v>9</v>
      </c>
      <c r="H339" s="4">
        <v>15451</v>
      </c>
      <c r="I339" s="4">
        <f t="shared" si="5"/>
        <v>139059</v>
      </c>
    </row>
    <row r="340" spans="1:9" x14ac:dyDescent="0.3">
      <c r="A340" s="1">
        <v>339</v>
      </c>
      <c r="B340" s="2" t="s">
        <v>351</v>
      </c>
      <c r="C340" s="3">
        <v>45265</v>
      </c>
      <c r="D340" s="4" t="s">
        <v>5</v>
      </c>
      <c r="E340" s="4" t="s">
        <v>9</v>
      </c>
      <c r="F340" s="4" t="s">
        <v>1024</v>
      </c>
      <c r="G340" s="4">
        <v>4</v>
      </c>
      <c r="H340" s="4">
        <v>67956</v>
      </c>
      <c r="I340" s="4">
        <f t="shared" si="5"/>
        <v>271824</v>
      </c>
    </row>
    <row r="341" spans="1:9" x14ac:dyDescent="0.3">
      <c r="A341" s="1">
        <v>340</v>
      </c>
      <c r="B341" s="2" t="s">
        <v>352</v>
      </c>
      <c r="C341" s="3">
        <v>45266</v>
      </c>
      <c r="D341" s="4" t="s">
        <v>5</v>
      </c>
      <c r="E341" s="4" t="s">
        <v>9</v>
      </c>
      <c r="F341" s="4" t="s">
        <v>15</v>
      </c>
      <c r="G341" s="4">
        <v>3</v>
      </c>
      <c r="H341" s="4">
        <v>15278</v>
      </c>
      <c r="I341" s="4">
        <f t="shared" si="5"/>
        <v>45834</v>
      </c>
    </row>
    <row r="342" spans="1:9" x14ac:dyDescent="0.3">
      <c r="A342" s="1">
        <v>341</v>
      </c>
      <c r="B342" s="2" t="s">
        <v>353</v>
      </c>
      <c r="C342" s="3">
        <v>45267</v>
      </c>
      <c r="D342" s="4" t="s">
        <v>1</v>
      </c>
      <c r="E342" s="4" t="s">
        <v>1040</v>
      </c>
      <c r="F342" s="4" t="s">
        <v>1026</v>
      </c>
      <c r="G342" s="4">
        <v>17</v>
      </c>
      <c r="H342" s="4">
        <v>48764</v>
      </c>
      <c r="I342" s="4">
        <f t="shared" si="5"/>
        <v>828988</v>
      </c>
    </row>
    <row r="343" spans="1:9" x14ac:dyDescent="0.3">
      <c r="A343" s="1">
        <v>342</v>
      </c>
      <c r="B343" s="2" t="s">
        <v>354</v>
      </c>
      <c r="C343" s="3">
        <v>45268</v>
      </c>
      <c r="D343" s="4" t="s">
        <v>5</v>
      </c>
      <c r="E343" s="4" t="s">
        <v>1040</v>
      </c>
      <c r="F343" s="4" t="s">
        <v>1022</v>
      </c>
      <c r="G343" s="4">
        <v>2</v>
      </c>
      <c r="H343" s="4">
        <v>6134</v>
      </c>
      <c r="I343" s="4">
        <f t="shared" si="5"/>
        <v>12268</v>
      </c>
    </row>
    <row r="344" spans="1:9" x14ac:dyDescent="0.3">
      <c r="A344" s="1">
        <v>343</v>
      </c>
      <c r="B344" s="2" t="s">
        <v>355</v>
      </c>
      <c r="C344" s="3">
        <v>45269</v>
      </c>
      <c r="D344" s="4" t="s">
        <v>1</v>
      </c>
      <c r="E344" s="4" t="s">
        <v>9</v>
      </c>
      <c r="F344" s="4" t="s">
        <v>1026</v>
      </c>
      <c r="G344" s="4">
        <v>1</v>
      </c>
      <c r="H344" s="4">
        <v>67943</v>
      </c>
      <c r="I344" s="4">
        <f t="shared" si="5"/>
        <v>67943</v>
      </c>
    </row>
    <row r="345" spans="1:9" x14ac:dyDescent="0.3">
      <c r="A345" s="1">
        <v>344</v>
      </c>
      <c r="B345" s="2" t="s">
        <v>356</v>
      </c>
      <c r="C345" s="3">
        <v>45270</v>
      </c>
      <c r="D345" s="4" t="s">
        <v>19</v>
      </c>
      <c r="E345" s="4" t="s">
        <v>1041</v>
      </c>
      <c r="F345" s="4" t="s">
        <v>1024</v>
      </c>
      <c r="G345" s="4">
        <v>8</v>
      </c>
      <c r="H345" s="4">
        <v>59318</v>
      </c>
      <c r="I345" s="4">
        <f t="shared" si="5"/>
        <v>474544</v>
      </c>
    </row>
    <row r="346" spans="1:9" x14ac:dyDescent="0.3">
      <c r="A346" s="1">
        <v>345</v>
      </c>
      <c r="B346" s="2" t="s">
        <v>357</v>
      </c>
      <c r="C346" s="3">
        <v>45271</v>
      </c>
      <c r="D346" s="4" t="s">
        <v>1</v>
      </c>
      <c r="E346" s="4" t="s">
        <v>1040</v>
      </c>
      <c r="F346" s="4" t="s">
        <v>1024</v>
      </c>
      <c r="G346" s="4">
        <v>13</v>
      </c>
      <c r="H346" s="4">
        <v>65128</v>
      </c>
      <c r="I346" s="4">
        <f t="shared" si="5"/>
        <v>846664</v>
      </c>
    </row>
    <row r="347" spans="1:9" x14ac:dyDescent="0.3">
      <c r="A347" s="1">
        <v>346</v>
      </c>
      <c r="B347" s="2" t="s">
        <v>358</v>
      </c>
      <c r="C347" s="3">
        <v>45272</v>
      </c>
      <c r="D347" s="4" t="s">
        <v>1</v>
      </c>
      <c r="E347" s="4" t="s">
        <v>1040</v>
      </c>
      <c r="F347" s="4" t="s">
        <v>1026</v>
      </c>
      <c r="G347" s="4">
        <v>15</v>
      </c>
      <c r="H347" s="4">
        <v>26869</v>
      </c>
      <c r="I347" s="4">
        <f t="shared" si="5"/>
        <v>403035</v>
      </c>
    </row>
    <row r="348" spans="1:9" x14ac:dyDescent="0.3">
      <c r="A348" s="1">
        <v>347</v>
      </c>
      <c r="B348" s="2" t="s">
        <v>359</v>
      </c>
      <c r="C348" s="3">
        <v>45273</v>
      </c>
      <c r="D348" s="4" t="s">
        <v>1</v>
      </c>
      <c r="E348" s="4" t="s">
        <v>1040</v>
      </c>
      <c r="F348" s="4" t="s">
        <v>15</v>
      </c>
      <c r="G348" s="4">
        <v>8</v>
      </c>
      <c r="H348" s="4">
        <v>10039</v>
      </c>
      <c r="I348" s="4">
        <f t="shared" si="5"/>
        <v>80312</v>
      </c>
    </row>
    <row r="349" spans="1:9" x14ac:dyDescent="0.3">
      <c r="A349" s="1">
        <v>348</v>
      </c>
      <c r="B349" s="2" t="s">
        <v>360</v>
      </c>
      <c r="C349" s="3">
        <v>45274</v>
      </c>
      <c r="D349" s="4" t="s">
        <v>5</v>
      </c>
      <c r="E349" s="4" t="s">
        <v>1040</v>
      </c>
      <c r="F349" s="4" t="s">
        <v>15</v>
      </c>
      <c r="G349" s="4">
        <v>12</v>
      </c>
      <c r="H349" s="4">
        <v>26281</v>
      </c>
      <c r="I349" s="4">
        <f t="shared" si="5"/>
        <v>315372</v>
      </c>
    </row>
    <row r="350" spans="1:9" x14ac:dyDescent="0.3">
      <c r="A350" s="1">
        <v>349</v>
      </c>
      <c r="B350" s="2" t="s">
        <v>361</v>
      </c>
      <c r="C350" s="3">
        <v>45275</v>
      </c>
      <c r="D350" s="4" t="s">
        <v>5</v>
      </c>
      <c r="E350" s="4" t="s">
        <v>1040</v>
      </c>
      <c r="F350" s="4" t="s">
        <v>1029</v>
      </c>
      <c r="G350" s="4">
        <v>12</v>
      </c>
      <c r="H350" s="4">
        <v>15442</v>
      </c>
      <c r="I350" s="4">
        <f t="shared" si="5"/>
        <v>185304</v>
      </c>
    </row>
    <row r="351" spans="1:9" x14ac:dyDescent="0.3">
      <c r="A351" s="1">
        <v>350</v>
      </c>
      <c r="B351" s="2" t="s">
        <v>362</v>
      </c>
      <c r="C351" s="3">
        <v>45276</v>
      </c>
      <c r="D351" s="4" t="s">
        <v>1</v>
      </c>
      <c r="E351" s="4" t="s">
        <v>1041</v>
      </c>
      <c r="F351" s="4" t="s">
        <v>1024</v>
      </c>
      <c r="G351" s="4">
        <v>14</v>
      </c>
      <c r="H351" s="4">
        <v>32586</v>
      </c>
      <c r="I351" s="4">
        <f t="shared" si="5"/>
        <v>456204</v>
      </c>
    </row>
    <row r="352" spans="1:9" x14ac:dyDescent="0.3">
      <c r="A352" s="1">
        <v>351</v>
      </c>
      <c r="B352" s="2" t="s">
        <v>363</v>
      </c>
      <c r="C352" s="3">
        <v>45277</v>
      </c>
      <c r="D352" s="4" t="s">
        <v>5</v>
      </c>
      <c r="E352" s="4" t="s">
        <v>1040</v>
      </c>
      <c r="F352" s="4" t="s">
        <v>3</v>
      </c>
      <c r="G352" s="4">
        <v>15</v>
      </c>
      <c r="H352" s="4">
        <v>58053</v>
      </c>
      <c r="I352" s="4">
        <f t="shared" si="5"/>
        <v>870795</v>
      </c>
    </row>
    <row r="353" spans="1:9" x14ac:dyDescent="0.3">
      <c r="A353" s="1">
        <v>352</v>
      </c>
      <c r="B353" s="2" t="s">
        <v>364</v>
      </c>
      <c r="C353" s="3">
        <v>45278</v>
      </c>
      <c r="D353" s="4" t="s">
        <v>7</v>
      </c>
      <c r="E353" s="4" t="s">
        <v>20</v>
      </c>
      <c r="F353" s="4" t="s">
        <v>1029</v>
      </c>
      <c r="G353" s="4">
        <v>15</v>
      </c>
      <c r="H353" s="4">
        <v>55489</v>
      </c>
      <c r="I353" s="4">
        <f t="shared" si="5"/>
        <v>832335</v>
      </c>
    </row>
    <row r="354" spans="1:9" x14ac:dyDescent="0.3">
      <c r="A354" s="1">
        <v>353</v>
      </c>
      <c r="B354" s="2" t="s">
        <v>365</v>
      </c>
      <c r="C354" s="3">
        <v>45279</v>
      </c>
      <c r="D354" s="4" t="s">
        <v>7</v>
      </c>
      <c r="E354" s="4" t="s">
        <v>9</v>
      </c>
      <c r="F354" s="4" t="s">
        <v>15</v>
      </c>
      <c r="G354" s="4">
        <v>9</v>
      </c>
      <c r="H354" s="4">
        <v>72087</v>
      </c>
      <c r="I354" s="4">
        <f t="shared" si="5"/>
        <v>648783</v>
      </c>
    </row>
    <row r="355" spans="1:9" x14ac:dyDescent="0.3">
      <c r="A355" s="1">
        <v>354</v>
      </c>
      <c r="B355" s="2" t="s">
        <v>366</v>
      </c>
      <c r="C355" s="3">
        <v>45280</v>
      </c>
      <c r="D355" s="4" t="s">
        <v>5</v>
      </c>
      <c r="E355" s="4" t="s">
        <v>1040</v>
      </c>
      <c r="F355" s="4" t="s">
        <v>1026</v>
      </c>
      <c r="G355" s="4">
        <v>19</v>
      </c>
      <c r="H355" s="4">
        <v>17625</v>
      </c>
      <c r="I355" s="4">
        <f t="shared" si="5"/>
        <v>334875</v>
      </c>
    </row>
    <row r="356" spans="1:9" x14ac:dyDescent="0.3">
      <c r="A356" s="1">
        <v>355</v>
      </c>
      <c r="B356" s="2" t="s">
        <v>367</v>
      </c>
      <c r="C356" s="3">
        <v>45281</v>
      </c>
      <c r="D356" s="4" t="s">
        <v>5</v>
      </c>
      <c r="E356" s="4" t="s">
        <v>20</v>
      </c>
      <c r="F356" s="4" t="s">
        <v>15</v>
      </c>
      <c r="G356" s="4">
        <v>8</v>
      </c>
      <c r="H356" s="4">
        <v>39397</v>
      </c>
      <c r="I356" s="4">
        <f t="shared" si="5"/>
        <v>315176</v>
      </c>
    </row>
    <row r="357" spans="1:9" x14ac:dyDescent="0.3">
      <c r="A357" s="1">
        <v>356</v>
      </c>
      <c r="B357" s="2" t="s">
        <v>368</v>
      </c>
      <c r="C357" s="3">
        <v>45282</v>
      </c>
      <c r="D357" s="4" t="s">
        <v>1</v>
      </c>
      <c r="E357" s="4" t="s">
        <v>1041</v>
      </c>
      <c r="F357" s="4" t="s">
        <v>1026</v>
      </c>
      <c r="G357" s="4">
        <v>19</v>
      </c>
      <c r="H357" s="4">
        <v>63671</v>
      </c>
      <c r="I357" s="4">
        <f t="shared" si="5"/>
        <v>1209749</v>
      </c>
    </row>
    <row r="358" spans="1:9" x14ac:dyDescent="0.3">
      <c r="A358" s="1">
        <v>357</v>
      </c>
      <c r="B358" s="2" t="s">
        <v>369</v>
      </c>
      <c r="C358" s="3">
        <v>45283</v>
      </c>
      <c r="D358" s="4" t="s">
        <v>19</v>
      </c>
      <c r="E358" s="4" t="s">
        <v>1041</v>
      </c>
      <c r="F358" s="4" t="s">
        <v>1029</v>
      </c>
      <c r="G358" s="4">
        <v>6</v>
      </c>
      <c r="H358" s="4">
        <v>71897</v>
      </c>
      <c r="I358" s="4">
        <f t="shared" si="5"/>
        <v>431382</v>
      </c>
    </row>
    <row r="359" spans="1:9" x14ac:dyDescent="0.3">
      <c r="A359" s="1">
        <v>358</v>
      </c>
      <c r="B359" s="2" t="s">
        <v>370</v>
      </c>
      <c r="C359" s="3">
        <v>45284</v>
      </c>
      <c r="D359" s="4" t="s">
        <v>5</v>
      </c>
      <c r="E359" s="4" t="s">
        <v>20</v>
      </c>
      <c r="F359" s="4" t="s">
        <v>1024</v>
      </c>
      <c r="G359" s="4">
        <v>19</v>
      </c>
      <c r="H359" s="4">
        <v>31149</v>
      </c>
      <c r="I359" s="4">
        <f t="shared" si="5"/>
        <v>591831</v>
      </c>
    </row>
    <row r="360" spans="1:9" x14ac:dyDescent="0.3">
      <c r="A360" s="1">
        <v>359</v>
      </c>
      <c r="B360" s="2" t="s">
        <v>371</v>
      </c>
      <c r="C360" s="3">
        <v>45285</v>
      </c>
      <c r="D360" s="4" t="s">
        <v>7</v>
      </c>
      <c r="E360" s="4" t="s">
        <v>1040</v>
      </c>
      <c r="F360" s="4" t="s">
        <v>15</v>
      </c>
      <c r="G360" s="4">
        <v>4</v>
      </c>
      <c r="H360" s="4">
        <v>65030</v>
      </c>
      <c r="I360" s="4">
        <f t="shared" si="5"/>
        <v>260120</v>
      </c>
    </row>
    <row r="361" spans="1:9" x14ac:dyDescent="0.3">
      <c r="A361" s="1">
        <v>360</v>
      </c>
      <c r="B361" s="2" t="s">
        <v>372</v>
      </c>
      <c r="C361" s="3">
        <v>45286</v>
      </c>
      <c r="D361" s="4" t="s">
        <v>1</v>
      </c>
      <c r="E361" s="4" t="s">
        <v>1041</v>
      </c>
      <c r="F361" s="4" t="s">
        <v>1026</v>
      </c>
      <c r="G361" s="4">
        <v>7</v>
      </c>
      <c r="H361" s="4">
        <v>74906</v>
      </c>
      <c r="I361" s="4">
        <f t="shared" si="5"/>
        <v>524342</v>
      </c>
    </row>
    <row r="362" spans="1:9" x14ac:dyDescent="0.3">
      <c r="A362" s="1">
        <v>361</v>
      </c>
      <c r="B362" s="2" t="s">
        <v>373</v>
      </c>
      <c r="C362" s="3">
        <v>45287</v>
      </c>
      <c r="D362" s="4" t="s">
        <v>5</v>
      </c>
      <c r="E362" s="4" t="s">
        <v>9</v>
      </c>
      <c r="F362" s="4" t="s">
        <v>1024</v>
      </c>
      <c r="G362" s="4">
        <v>4</v>
      </c>
      <c r="H362" s="4">
        <v>10283</v>
      </c>
      <c r="I362" s="4">
        <f t="shared" si="5"/>
        <v>41132</v>
      </c>
    </row>
    <row r="363" spans="1:9" x14ac:dyDescent="0.3">
      <c r="A363" s="1">
        <v>362</v>
      </c>
      <c r="B363" s="2" t="s">
        <v>374</v>
      </c>
      <c r="C363" s="3">
        <v>45288</v>
      </c>
      <c r="D363" s="4" t="s">
        <v>7</v>
      </c>
      <c r="E363" s="4" t="s">
        <v>1041</v>
      </c>
      <c r="F363" s="4" t="s">
        <v>3</v>
      </c>
      <c r="G363" s="4">
        <v>12</v>
      </c>
      <c r="H363" s="4">
        <v>12610</v>
      </c>
      <c r="I363" s="4">
        <f t="shared" si="5"/>
        <v>151320</v>
      </c>
    </row>
    <row r="364" spans="1:9" x14ac:dyDescent="0.3">
      <c r="A364" s="1">
        <v>363</v>
      </c>
      <c r="B364" s="2" t="s">
        <v>375</v>
      </c>
      <c r="C364" s="3">
        <v>45289</v>
      </c>
      <c r="D364" s="4" t="s">
        <v>7</v>
      </c>
      <c r="E364" s="4" t="s">
        <v>2</v>
      </c>
      <c r="F364" s="4" t="s">
        <v>1026</v>
      </c>
      <c r="G364" s="4">
        <v>13</v>
      </c>
      <c r="H364" s="4">
        <v>48326</v>
      </c>
      <c r="I364" s="4">
        <f t="shared" si="5"/>
        <v>628238</v>
      </c>
    </row>
    <row r="365" spans="1:9" x14ac:dyDescent="0.3">
      <c r="A365" s="1">
        <v>364</v>
      </c>
      <c r="B365" s="2" t="s">
        <v>376</v>
      </c>
      <c r="C365" s="3">
        <v>45290</v>
      </c>
      <c r="D365" s="4" t="s">
        <v>19</v>
      </c>
      <c r="E365" s="4" t="s">
        <v>2</v>
      </c>
      <c r="F365" s="4" t="s">
        <v>1029</v>
      </c>
      <c r="G365" s="4">
        <v>3</v>
      </c>
      <c r="H365" s="4">
        <v>19924</v>
      </c>
      <c r="I365" s="4">
        <f t="shared" si="5"/>
        <v>59772</v>
      </c>
    </row>
    <row r="366" spans="1:9" x14ac:dyDescent="0.3">
      <c r="A366" s="1">
        <v>365</v>
      </c>
      <c r="B366" s="2" t="s">
        <v>377</v>
      </c>
      <c r="C366" s="3">
        <v>45291</v>
      </c>
      <c r="D366" s="4" t="s">
        <v>1</v>
      </c>
      <c r="E366" s="4" t="s">
        <v>1040</v>
      </c>
      <c r="F366" s="4" t="s">
        <v>3</v>
      </c>
      <c r="G366" s="4">
        <v>12</v>
      </c>
      <c r="H366" s="4">
        <v>5869</v>
      </c>
      <c r="I366" s="4">
        <f t="shared" si="5"/>
        <v>70428</v>
      </c>
    </row>
    <row r="367" spans="1:9" x14ac:dyDescent="0.3">
      <c r="A367" s="1">
        <v>366</v>
      </c>
      <c r="B367" s="2" t="s">
        <v>378</v>
      </c>
      <c r="C367" s="3">
        <v>45292</v>
      </c>
      <c r="D367" s="4" t="s">
        <v>1</v>
      </c>
      <c r="E367" s="4" t="s">
        <v>20</v>
      </c>
      <c r="F367" s="4" t="s">
        <v>3</v>
      </c>
      <c r="G367" s="4">
        <v>2</v>
      </c>
      <c r="H367" s="4">
        <v>6014</v>
      </c>
      <c r="I367" s="4">
        <f t="shared" si="5"/>
        <v>12028</v>
      </c>
    </row>
    <row r="368" spans="1:9" x14ac:dyDescent="0.3">
      <c r="A368" s="1">
        <v>367</v>
      </c>
      <c r="B368" s="2" t="s">
        <v>379</v>
      </c>
      <c r="C368" s="3">
        <v>45293</v>
      </c>
      <c r="D368" s="4" t="s">
        <v>19</v>
      </c>
      <c r="E368" s="4" t="s">
        <v>1040</v>
      </c>
      <c r="F368" s="4" t="s">
        <v>1022</v>
      </c>
      <c r="G368" s="4">
        <v>2</v>
      </c>
      <c r="H368" s="4">
        <v>15103</v>
      </c>
      <c r="I368" s="4">
        <f t="shared" si="5"/>
        <v>30206</v>
      </c>
    </row>
    <row r="369" spans="1:9" x14ac:dyDescent="0.3">
      <c r="A369" s="1">
        <v>368</v>
      </c>
      <c r="B369" s="2" t="s">
        <v>380</v>
      </c>
      <c r="C369" s="3">
        <v>45294</v>
      </c>
      <c r="D369" s="4" t="s">
        <v>19</v>
      </c>
      <c r="E369" s="4" t="s">
        <v>1040</v>
      </c>
      <c r="F369" s="4" t="s">
        <v>15</v>
      </c>
      <c r="G369" s="4">
        <v>9</v>
      </c>
      <c r="H369" s="4">
        <v>38458</v>
      </c>
      <c r="I369" s="4">
        <f t="shared" si="5"/>
        <v>346122</v>
      </c>
    </row>
    <row r="370" spans="1:9" x14ac:dyDescent="0.3">
      <c r="A370" s="1">
        <v>369</v>
      </c>
      <c r="B370" s="2" t="s">
        <v>381</v>
      </c>
      <c r="C370" s="3">
        <v>45295</v>
      </c>
      <c r="D370" s="4" t="s">
        <v>1</v>
      </c>
      <c r="E370" s="4" t="s">
        <v>1040</v>
      </c>
      <c r="F370" s="4" t="s">
        <v>1026</v>
      </c>
      <c r="G370" s="4">
        <v>1</v>
      </c>
      <c r="H370" s="4">
        <v>28248</v>
      </c>
      <c r="I370" s="4">
        <f t="shared" si="5"/>
        <v>28248</v>
      </c>
    </row>
    <row r="371" spans="1:9" x14ac:dyDescent="0.3">
      <c r="A371" s="1">
        <v>370</v>
      </c>
      <c r="B371" s="2" t="s">
        <v>382</v>
      </c>
      <c r="C371" s="3">
        <v>45296</v>
      </c>
      <c r="D371" s="4" t="s">
        <v>1</v>
      </c>
      <c r="E371" s="4" t="s">
        <v>1040</v>
      </c>
      <c r="F371" s="4" t="s">
        <v>3</v>
      </c>
      <c r="G371" s="4">
        <v>8</v>
      </c>
      <c r="H371" s="4">
        <v>48516</v>
      </c>
      <c r="I371" s="4">
        <f t="shared" si="5"/>
        <v>388128</v>
      </c>
    </row>
    <row r="372" spans="1:9" x14ac:dyDescent="0.3">
      <c r="A372" s="1">
        <v>371</v>
      </c>
      <c r="B372" s="2" t="s">
        <v>383</v>
      </c>
      <c r="C372" s="3">
        <v>45297</v>
      </c>
      <c r="D372" s="4" t="s">
        <v>5</v>
      </c>
      <c r="E372" s="4" t="s">
        <v>9</v>
      </c>
      <c r="F372" s="4" t="s">
        <v>1022</v>
      </c>
      <c r="G372" s="4">
        <v>6</v>
      </c>
      <c r="H372" s="4">
        <v>34061</v>
      </c>
      <c r="I372" s="4">
        <f t="shared" si="5"/>
        <v>204366</v>
      </c>
    </row>
    <row r="373" spans="1:9" x14ac:dyDescent="0.3">
      <c r="A373" s="1">
        <v>372</v>
      </c>
      <c r="B373" s="2" t="s">
        <v>384</v>
      </c>
      <c r="C373" s="3">
        <v>45298</v>
      </c>
      <c r="D373" s="4" t="s">
        <v>5</v>
      </c>
      <c r="E373" s="4" t="s">
        <v>9</v>
      </c>
      <c r="F373" s="4" t="s">
        <v>1029</v>
      </c>
      <c r="G373" s="4">
        <v>6</v>
      </c>
      <c r="H373" s="4">
        <v>29170</v>
      </c>
      <c r="I373" s="4">
        <f t="shared" si="5"/>
        <v>175020</v>
      </c>
    </row>
    <row r="374" spans="1:9" x14ac:dyDescent="0.3">
      <c r="A374" s="1">
        <v>373</v>
      </c>
      <c r="B374" s="2" t="s">
        <v>385</v>
      </c>
      <c r="C374" s="3">
        <v>45299</v>
      </c>
      <c r="D374" s="4" t="s">
        <v>19</v>
      </c>
      <c r="E374" s="4" t="s">
        <v>1041</v>
      </c>
      <c r="F374" s="4" t="s">
        <v>1024</v>
      </c>
      <c r="G374" s="4">
        <v>18</v>
      </c>
      <c r="H374" s="4">
        <v>13024</v>
      </c>
      <c r="I374" s="4">
        <f t="shared" si="5"/>
        <v>234432</v>
      </c>
    </row>
    <row r="375" spans="1:9" x14ac:dyDescent="0.3">
      <c r="A375" s="1">
        <v>374</v>
      </c>
      <c r="B375" s="2" t="s">
        <v>386</v>
      </c>
      <c r="C375" s="3">
        <v>45300</v>
      </c>
      <c r="D375" s="4" t="s">
        <v>5</v>
      </c>
      <c r="E375" s="4" t="s">
        <v>2</v>
      </c>
      <c r="F375" s="4" t="s">
        <v>1026</v>
      </c>
      <c r="G375" s="4">
        <v>17</v>
      </c>
      <c r="H375" s="4">
        <v>48803</v>
      </c>
      <c r="I375" s="4">
        <f t="shared" si="5"/>
        <v>829651</v>
      </c>
    </row>
    <row r="376" spans="1:9" x14ac:dyDescent="0.3">
      <c r="A376" s="1">
        <v>375</v>
      </c>
      <c r="B376" s="2" t="s">
        <v>387</v>
      </c>
      <c r="C376" s="3">
        <v>45301</v>
      </c>
      <c r="D376" s="4" t="s">
        <v>7</v>
      </c>
      <c r="E376" s="4" t="s">
        <v>1040</v>
      </c>
      <c r="F376" s="4" t="s">
        <v>3</v>
      </c>
      <c r="G376" s="4">
        <v>12</v>
      </c>
      <c r="H376" s="4">
        <v>24296</v>
      </c>
      <c r="I376" s="4">
        <f t="shared" si="5"/>
        <v>291552</v>
      </c>
    </row>
    <row r="377" spans="1:9" x14ac:dyDescent="0.3">
      <c r="A377" s="1">
        <v>376</v>
      </c>
      <c r="B377" s="2" t="s">
        <v>388</v>
      </c>
      <c r="C377" s="3">
        <v>45302</v>
      </c>
      <c r="D377" s="4" t="s">
        <v>5</v>
      </c>
      <c r="E377" s="4" t="s">
        <v>1041</v>
      </c>
      <c r="F377" s="4" t="s">
        <v>15</v>
      </c>
      <c r="G377" s="4">
        <v>6</v>
      </c>
      <c r="H377" s="4">
        <v>23257</v>
      </c>
      <c r="I377" s="4">
        <f t="shared" si="5"/>
        <v>139542</v>
      </c>
    </row>
    <row r="378" spans="1:9" x14ac:dyDescent="0.3">
      <c r="A378" s="1">
        <v>377</v>
      </c>
      <c r="B378" s="2" t="s">
        <v>389</v>
      </c>
      <c r="C378" s="3">
        <v>45303</v>
      </c>
      <c r="D378" s="4" t="s">
        <v>5</v>
      </c>
      <c r="E378" s="4" t="s">
        <v>2</v>
      </c>
      <c r="F378" s="4" t="s">
        <v>1022</v>
      </c>
      <c r="G378" s="4">
        <v>8</v>
      </c>
      <c r="H378" s="4">
        <v>17855</v>
      </c>
      <c r="I378" s="4">
        <f t="shared" si="5"/>
        <v>142840</v>
      </c>
    </row>
    <row r="379" spans="1:9" x14ac:dyDescent="0.3">
      <c r="A379" s="1">
        <v>378</v>
      </c>
      <c r="B379" s="2" t="s">
        <v>390</v>
      </c>
      <c r="C379" s="3">
        <v>45304</v>
      </c>
      <c r="D379" s="4" t="s">
        <v>7</v>
      </c>
      <c r="E379" s="4" t="s">
        <v>20</v>
      </c>
      <c r="F379" s="4" t="s">
        <v>3</v>
      </c>
      <c r="G379" s="4">
        <v>19</v>
      </c>
      <c r="H379" s="4">
        <v>25025</v>
      </c>
      <c r="I379" s="4">
        <f t="shared" si="5"/>
        <v>475475</v>
      </c>
    </row>
    <row r="380" spans="1:9" x14ac:dyDescent="0.3">
      <c r="A380" s="1">
        <v>379</v>
      </c>
      <c r="B380" s="2" t="s">
        <v>391</v>
      </c>
      <c r="C380" s="3">
        <v>45305</v>
      </c>
      <c r="D380" s="4" t="s">
        <v>19</v>
      </c>
      <c r="E380" s="4" t="s">
        <v>9</v>
      </c>
      <c r="F380" s="4" t="s">
        <v>15</v>
      </c>
      <c r="G380" s="4">
        <v>10</v>
      </c>
      <c r="H380" s="4">
        <v>9458</v>
      </c>
      <c r="I380" s="4">
        <f t="shared" si="5"/>
        <v>94580</v>
      </c>
    </row>
    <row r="381" spans="1:9" x14ac:dyDescent="0.3">
      <c r="A381" s="1">
        <v>380</v>
      </c>
      <c r="B381" s="2" t="s">
        <v>392</v>
      </c>
      <c r="C381" s="3">
        <v>45306</v>
      </c>
      <c r="D381" s="4" t="s">
        <v>7</v>
      </c>
      <c r="E381" s="4" t="s">
        <v>2</v>
      </c>
      <c r="F381" s="4" t="s">
        <v>3</v>
      </c>
      <c r="G381" s="4">
        <v>1</v>
      </c>
      <c r="H381" s="4">
        <v>68610</v>
      </c>
      <c r="I381" s="4">
        <f t="shared" si="5"/>
        <v>68610</v>
      </c>
    </row>
    <row r="382" spans="1:9" x14ac:dyDescent="0.3">
      <c r="A382" s="1">
        <v>381</v>
      </c>
      <c r="B382" s="2" t="s">
        <v>393</v>
      </c>
      <c r="C382" s="3">
        <v>45307</v>
      </c>
      <c r="D382" s="4" t="s">
        <v>5</v>
      </c>
      <c r="E382" s="4" t="s">
        <v>20</v>
      </c>
      <c r="F382" s="4" t="s">
        <v>1026</v>
      </c>
      <c r="G382" s="4">
        <v>13</v>
      </c>
      <c r="H382" s="4">
        <v>54831</v>
      </c>
      <c r="I382" s="4">
        <f t="shared" si="5"/>
        <v>712803</v>
      </c>
    </row>
    <row r="383" spans="1:9" x14ac:dyDescent="0.3">
      <c r="A383" s="1">
        <v>382</v>
      </c>
      <c r="B383" s="2" t="s">
        <v>394</v>
      </c>
      <c r="C383" s="3">
        <v>45308</v>
      </c>
      <c r="D383" s="4" t="s">
        <v>19</v>
      </c>
      <c r="E383" s="4" t="s">
        <v>2</v>
      </c>
      <c r="F383" s="4" t="s">
        <v>1026</v>
      </c>
      <c r="G383" s="4">
        <v>17</v>
      </c>
      <c r="H383" s="4">
        <v>48427</v>
      </c>
      <c r="I383" s="4">
        <f t="shared" si="5"/>
        <v>823259</v>
      </c>
    </row>
    <row r="384" spans="1:9" x14ac:dyDescent="0.3">
      <c r="A384" s="1">
        <v>383</v>
      </c>
      <c r="B384" s="2" t="s">
        <v>395</v>
      </c>
      <c r="C384" s="3">
        <v>45309</v>
      </c>
      <c r="D384" s="4" t="s">
        <v>5</v>
      </c>
      <c r="E384" s="4" t="s">
        <v>9</v>
      </c>
      <c r="F384" s="4" t="s">
        <v>1026</v>
      </c>
      <c r="G384" s="4">
        <v>3</v>
      </c>
      <c r="H384" s="4">
        <v>43506</v>
      </c>
      <c r="I384" s="4">
        <f t="shared" si="5"/>
        <v>130518</v>
      </c>
    </row>
    <row r="385" spans="1:9" x14ac:dyDescent="0.3">
      <c r="A385" s="1">
        <v>384</v>
      </c>
      <c r="B385" s="2" t="s">
        <v>396</v>
      </c>
      <c r="C385" s="3">
        <v>45310</v>
      </c>
      <c r="D385" s="4" t="s">
        <v>7</v>
      </c>
      <c r="E385" s="4" t="s">
        <v>9</v>
      </c>
      <c r="F385" s="4" t="s">
        <v>1029</v>
      </c>
      <c r="G385" s="4">
        <v>8</v>
      </c>
      <c r="H385" s="4">
        <v>10668</v>
      </c>
      <c r="I385" s="4">
        <f t="shared" si="5"/>
        <v>85344</v>
      </c>
    </row>
    <row r="386" spans="1:9" x14ac:dyDescent="0.3">
      <c r="A386" s="1">
        <v>385</v>
      </c>
      <c r="B386" s="2" t="s">
        <v>397</v>
      </c>
      <c r="C386" s="3">
        <v>45311</v>
      </c>
      <c r="D386" s="4" t="s">
        <v>7</v>
      </c>
      <c r="E386" s="4" t="s">
        <v>1041</v>
      </c>
      <c r="F386" s="4" t="s">
        <v>1029</v>
      </c>
      <c r="G386" s="4">
        <v>14</v>
      </c>
      <c r="H386" s="4">
        <v>52195</v>
      </c>
      <c r="I386" s="4">
        <f t="shared" si="5"/>
        <v>730730</v>
      </c>
    </row>
    <row r="387" spans="1:9" x14ac:dyDescent="0.3">
      <c r="A387" s="1">
        <v>386</v>
      </c>
      <c r="B387" s="2" t="s">
        <v>398</v>
      </c>
      <c r="C387" s="3">
        <v>45312</v>
      </c>
      <c r="D387" s="4" t="s">
        <v>5</v>
      </c>
      <c r="E387" s="4" t="s">
        <v>1040</v>
      </c>
      <c r="F387" s="4" t="s">
        <v>1022</v>
      </c>
      <c r="G387" s="4">
        <v>3</v>
      </c>
      <c r="H387" s="4">
        <v>29417</v>
      </c>
      <c r="I387" s="4">
        <f t="shared" ref="I387:I450" si="6">G387*H387</f>
        <v>88251</v>
      </c>
    </row>
    <row r="388" spans="1:9" x14ac:dyDescent="0.3">
      <c r="A388" s="1">
        <v>387</v>
      </c>
      <c r="B388" s="2" t="s">
        <v>399</v>
      </c>
      <c r="C388" s="3">
        <v>45313</v>
      </c>
      <c r="D388" s="4" t="s">
        <v>1</v>
      </c>
      <c r="E388" s="4" t="s">
        <v>2</v>
      </c>
      <c r="F388" s="4" t="s">
        <v>1026</v>
      </c>
      <c r="G388" s="4">
        <v>16</v>
      </c>
      <c r="H388" s="4">
        <v>15751</v>
      </c>
      <c r="I388" s="4">
        <f t="shared" si="6"/>
        <v>252016</v>
      </c>
    </row>
    <row r="389" spans="1:9" x14ac:dyDescent="0.3">
      <c r="A389" s="1">
        <v>388</v>
      </c>
      <c r="B389" s="2" t="s">
        <v>400</v>
      </c>
      <c r="C389" s="3">
        <v>45314</v>
      </c>
      <c r="D389" s="4" t="s">
        <v>1</v>
      </c>
      <c r="E389" s="4" t="s">
        <v>2</v>
      </c>
      <c r="F389" s="4" t="s">
        <v>15</v>
      </c>
      <c r="G389" s="4">
        <v>13</v>
      </c>
      <c r="H389" s="4">
        <v>51218</v>
      </c>
      <c r="I389" s="4">
        <f t="shared" si="6"/>
        <v>665834</v>
      </c>
    </row>
    <row r="390" spans="1:9" x14ac:dyDescent="0.3">
      <c r="A390" s="1">
        <v>389</v>
      </c>
      <c r="B390" s="2" t="s">
        <v>401</v>
      </c>
      <c r="C390" s="3">
        <v>45315</v>
      </c>
      <c r="D390" s="4" t="s">
        <v>7</v>
      </c>
      <c r="E390" s="4" t="s">
        <v>20</v>
      </c>
      <c r="F390" s="4" t="s">
        <v>3</v>
      </c>
      <c r="G390" s="4">
        <v>17</v>
      </c>
      <c r="H390" s="4">
        <v>12352</v>
      </c>
      <c r="I390" s="4">
        <f t="shared" si="6"/>
        <v>209984</v>
      </c>
    </row>
    <row r="391" spans="1:9" x14ac:dyDescent="0.3">
      <c r="A391" s="1">
        <v>390</v>
      </c>
      <c r="B391" s="2" t="s">
        <v>402</v>
      </c>
      <c r="C391" s="3">
        <v>45316</v>
      </c>
      <c r="D391" s="4" t="s">
        <v>7</v>
      </c>
      <c r="E391" s="4" t="s">
        <v>9</v>
      </c>
      <c r="F391" s="4" t="s">
        <v>1024</v>
      </c>
      <c r="G391" s="4">
        <v>13</v>
      </c>
      <c r="H391" s="4">
        <v>33927</v>
      </c>
      <c r="I391" s="4">
        <f t="shared" si="6"/>
        <v>441051</v>
      </c>
    </row>
    <row r="392" spans="1:9" x14ac:dyDescent="0.3">
      <c r="A392" s="1">
        <v>391</v>
      </c>
      <c r="B392" s="2" t="s">
        <v>403</v>
      </c>
      <c r="C392" s="3">
        <v>45317</v>
      </c>
      <c r="D392" s="4" t="s">
        <v>1</v>
      </c>
      <c r="E392" s="4" t="s">
        <v>2</v>
      </c>
      <c r="F392" s="4" t="s">
        <v>15</v>
      </c>
      <c r="G392" s="4">
        <v>6</v>
      </c>
      <c r="H392" s="4">
        <v>46094</v>
      </c>
      <c r="I392" s="4">
        <f t="shared" si="6"/>
        <v>276564</v>
      </c>
    </row>
    <row r="393" spans="1:9" x14ac:dyDescent="0.3">
      <c r="A393" s="1">
        <v>392</v>
      </c>
      <c r="B393" s="2" t="s">
        <v>404</v>
      </c>
      <c r="C393" s="3">
        <v>45318</v>
      </c>
      <c r="D393" s="4" t="s">
        <v>1</v>
      </c>
      <c r="E393" s="4" t="s">
        <v>9</v>
      </c>
      <c r="F393" s="4" t="s">
        <v>1029</v>
      </c>
      <c r="G393" s="4">
        <v>17</v>
      </c>
      <c r="H393" s="4">
        <v>59122</v>
      </c>
      <c r="I393" s="4">
        <f t="shared" si="6"/>
        <v>1005074</v>
      </c>
    </row>
    <row r="394" spans="1:9" x14ac:dyDescent="0.3">
      <c r="A394" s="1">
        <v>393</v>
      </c>
      <c r="B394" s="2" t="s">
        <v>405</v>
      </c>
      <c r="C394" s="3">
        <v>45319</v>
      </c>
      <c r="D394" s="4" t="s">
        <v>5</v>
      </c>
      <c r="E394" s="4" t="s">
        <v>2</v>
      </c>
      <c r="F394" s="4" t="s">
        <v>1029</v>
      </c>
      <c r="G394" s="4">
        <v>14</v>
      </c>
      <c r="H394" s="4">
        <v>34493</v>
      </c>
      <c r="I394" s="4">
        <f t="shared" si="6"/>
        <v>482902</v>
      </c>
    </row>
    <row r="395" spans="1:9" x14ac:dyDescent="0.3">
      <c r="A395" s="1">
        <v>394</v>
      </c>
      <c r="B395" s="2" t="s">
        <v>406</v>
      </c>
      <c r="C395" s="3">
        <v>45320</v>
      </c>
      <c r="D395" s="4" t="s">
        <v>5</v>
      </c>
      <c r="E395" s="4" t="s">
        <v>1041</v>
      </c>
      <c r="F395" s="4" t="s">
        <v>15</v>
      </c>
      <c r="G395" s="4">
        <v>17</v>
      </c>
      <c r="H395" s="4">
        <v>36707</v>
      </c>
      <c r="I395" s="4">
        <f t="shared" si="6"/>
        <v>624019</v>
      </c>
    </row>
    <row r="396" spans="1:9" x14ac:dyDescent="0.3">
      <c r="A396" s="1">
        <v>395</v>
      </c>
      <c r="B396" s="2" t="s">
        <v>407</v>
      </c>
      <c r="C396" s="3">
        <v>45321</v>
      </c>
      <c r="D396" s="4" t="s">
        <v>1</v>
      </c>
      <c r="E396" s="4" t="s">
        <v>1040</v>
      </c>
      <c r="F396" s="4" t="s">
        <v>1029</v>
      </c>
      <c r="G396" s="4">
        <v>8</v>
      </c>
      <c r="H396" s="4">
        <v>73814</v>
      </c>
      <c r="I396" s="4">
        <f t="shared" si="6"/>
        <v>590512</v>
      </c>
    </row>
    <row r="397" spans="1:9" x14ac:dyDescent="0.3">
      <c r="A397" s="1">
        <v>396</v>
      </c>
      <c r="B397" s="2" t="s">
        <v>408</v>
      </c>
      <c r="C397" s="3">
        <v>45322</v>
      </c>
      <c r="D397" s="4" t="s">
        <v>5</v>
      </c>
      <c r="E397" s="4" t="s">
        <v>2</v>
      </c>
      <c r="F397" s="4" t="s">
        <v>1026</v>
      </c>
      <c r="G397" s="4">
        <v>11</v>
      </c>
      <c r="H397" s="4">
        <v>12296</v>
      </c>
      <c r="I397" s="4">
        <f t="shared" si="6"/>
        <v>135256</v>
      </c>
    </row>
    <row r="398" spans="1:9" x14ac:dyDescent="0.3">
      <c r="A398" s="1">
        <v>397</v>
      </c>
      <c r="B398" s="2" t="s">
        <v>409</v>
      </c>
      <c r="C398" s="3">
        <v>45323</v>
      </c>
      <c r="D398" s="4" t="s">
        <v>5</v>
      </c>
      <c r="E398" s="4" t="s">
        <v>9</v>
      </c>
      <c r="F398" s="4" t="s">
        <v>1022</v>
      </c>
      <c r="G398" s="4">
        <v>1</v>
      </c>
      <c r="H398" s="4">
        <v>30398</v>
      </c>
      <c r="I398" s="4">
        <f t="shared" si="6"/>
        <v>30398</v>
      </c>
    </row>
    <row r="399" spans="1:9" x14ac:dyDescent="0.3">
      <c r="A399" s="1">
        <v>398</v>
      </c>
      <c r="B399" s="2" t="s">
        <v>410</v>
      </c>
      <c r="C399" s="3">
        <v>45324</v>
      </c>
      <c r="D399" s="4" t="s">
        <v>19</v>
      </c>
      <c r="E399" s="4" t="s">
        <v>1041</v>
      </c>
      <c r="F399" s="4" t="s">
        <v>3</v>
      </c>
      <c r="G399" s="4">
        <v>7</v>
      </c>
      <c r="H399" s="4">
        <v>40842</v>
      </c>
      <c r="I399" s="4">
        <f t="shared" si="6"/>
        <v>285894</v>
      </c>
    </row>
    <row r="400" spans="1:9" x14ac:dyDescent="0.3">
      <c r="A400" s="1">
        <v>399</v>
      </c>
      <c r="B400" s="2" t="s">
        <v>411</v>
      </c>
      <c r="C400" s="3">
        <v>45325</v>
      </c>
      <c r="D400" s="4" t="s">
        <v>5</v>
      </c>
      <c r="E400" s="4" t="s">
        <v>2</v>
      </c>
      <c r="F400" s="4" t="s">
        <v>1022</v>
      </c>
      <c r="G400" s="4">
        <v>17</v>
      </c>
      <c r="H400" s="4">
        <v>18261</v>
      </c>
      <c r="I400" s="4">
        <f t="shared" si="6"/>
        <v>310437</v>
      </c>
    </row>
    <row r="401" spans="1:9" x14ac:dyDescent="0.3">
      <c r="A401" s="1">
        <v>400</v>
      </c>
      <c r="B401" s="2" t="s">
        <v>412</v>
      </c>
      <c r="C401" s="3">
        <v>45326</v>
      </c>
      <c r="D401" s="4" t="s">
        <v>7</v>
      </c>
      <c r="E401" s="4" t="s">
        <v>20</v>
      </c>
      <c r="F401" s="4" t="s">
        <v>3</v>
      </c>
      <c r="G401" s="4">
        <v>10</v>
      </c>
      <c r="H401" s="4">
        <v>61704</v>
      </c>
      <c r="I401" s="4">
        <f t="shared" si="6"/>
        <v>617040</v>
      </c>
    </row>
    <row r="402" spans="1:9" x14ac:dyDescent="0.3">
      <c r="A402" s="1">
        <v>401</v>
      </c>
      <c r="B402" s="2" t="s">
        <v>413</v>
      </c>
      <c r="C402" s="3">
        <v>45327</v>
      </c>
      <c r="D402" s="4" t="s">
        <v>5</v>
      </c>
      <c r="E402" s="4" t="s">
        <v>1040</v>
      </c>
      <c r="F402" s="4" t="s">
        <v>3</v>
      </c>
      <c r="G402" s="4">
        <v>11</v>
      </c>
      <c r="H402" s="4">
        <v>72173</v>
      </c>
      <c r="I402" s="4">
        <f t="shared" si="6"/>
        <v>793903</v>
      </c>
    </row>
    <row r="403" spans="1:9" x14ac:dyDescent="0.3">
      <c r="A403" s="1">
        <v>402</v>
      </c>
      <c r="B403" s="2" t="s">
        <v>414</v>
      </c>
      <c r="C403" s="3">
        <v>45328</v>
      </c>
      <c r="D403" s="4" t="s">
        <v>5</v>
      </c>
      <c r="E403" s="4" t="s">
        <v>2</v>
      </c>
      <c r="F403" s="4" t="s">
        <v>1022</v>
      </c>
      <c r="G403" s="4">
        <v>9</v>
      </c>
      <c r="H403" s="4">
        <v>36781</v>
      </c>
      <c r="I403" s="4">
        <f t="shared" si="6"/>
        <v>331029</v>
      </c>
    </row>
    <row r="404" spans="1:9" x14ac:dyDescent="0.3">
      <c r="A404" s="1">
        <v>403</v>
      </c>
      <c r="B404" s="2" t="s">
        <v>415</v>
      </c>
      <c r="C404" s="3">
        <v>45329</v>
      </c>
      <c r="D404" s="4" t="s">
        <v>1</v>
      </c>
      <c r="E404" s="4" t="s">
        <v>1041</v>
      </c>
      <c r="F404" s="4" t="s">
        <v>15</v>
      </c>
      <c r="G404" s="4">
        <v>9</v>
      </c>
      <c r="H404" s="4">
        <v>18652</v>
      </c>
      <c r="I404" s="4">
        <f t="shared" si="6"/>
        <v>167868</v>
      </c>
    </row>
    <row r="405" spans="1:9" x14ac:dyDescent="0.3">
      <c r="A405" s="1">
        <v>404</v>
      </c>
      <c r="B405" s="2" t="s">
        <v>416</v>
      </c>
      <c r="C405" s="3">
        <v>45330</v>
      </c>
      <c r="D405" s="4" t="s">
        <v>7</v>
      </c>
      <c r="E405" s="4" t="s">
        <v>20</v>
      </c>
      <c r="F405" s="4" t="s">
        <v>3</v>
      </c>
      <c r="G405" s="4">
        <v>5</v>
      </c>
      <c r="H405" s="4">
        <v>10103</v>
      </c>
      <c r="I405" s="4">
        <f t="shared" si="6"/>
        <v>50515</v>
      </c>
    </row>
    <row r="406" spans="1:9" x14ac:dyDescent="0.3">
      <c r="A406" s="1">
        <v>405</v>
      </c>
      <c r="B406" s="2" t="s">
        <v>417</v>
      </c>
      <c r="C406" s="3">
        <v>45331</v>
      </c>
      <c r="D406" s="4" t="s">
        <v>5</v>
      </c>
      <c r="E406" s="4" t="s">
        <v>1041</v>
      </c>
      <c r="F406" s="4" t="s">
        <v>1022</v>
      </c>
      <c r="G406" s="4">
        <v>17</v>
      </c>
      <c r="H406" s="4">
        <v>30500</v>
      </c>
      <c r="I406" s="4">
        <f t="shared" si="6"/>
        <v>518500</v>
      </c>
    </row>
    <row r="407" spans="1:9" x14ac:dyDescent="0.3">
      <c r="A407" s="1">
        <v>406</v>
      </c>
      <c r="B407" s="2" t="s">
        <v>418</v>
      </c>
      <c r="C407" s="3">
        <v>45332</v>
      </c>
      <c r="D407" s="4" t="s">
        <v>5</v>
      </c>
      <c r="E407" s="4" t="s">
        <v>1041</v>
      </c>
      <c r="F407" s="4" t="s">
        <v>3</v>
      </c>
      <c r="G407" s="4">
        <v>9</v>
      </c>
      <c r="H407" s="4">
        <v>40529</v>
      </c>
      <c r="I407" s="4">
        <f t="shared" si="6"/>
        <v>364761</v>
      </c>
    </row>
    <row r="408" spans="1:9" x14ac:dyDescent="0.3">
      <c r="A408" s="1">
        <v>407</v>
      </c>
      <c r="B408" s="2" t="s">
        <v>419</v>
      </c>
      <c r="C408" s="3">
        <v>45333</v>
      </c>
      <c r="D408" s="4" t="s">
        <v>19</v>
      </c>
      <c r="E408" s="4" t="s">
        <v>20</v>
      </c>
      <c r="F408" s="4" t="s">
        <v>1024</v>
      </c>
      <c r="G408" s="4">
        <v>17</v>
      </c>
      <c r="H408" s="4">
        <v>23452</v>
      </c>
      <c r="I408" s="4">
        <f t="shared" si="6"/>
        <v>398684</v>
      </c>
    </row>
    <row r="409" spans="1:9" x14ac:dyDescent="0.3">
      <c r="A409" s="1">
        <v>408</v>
      </c>
      <c r="B409" s="2" t="s">
        <v>420</v>
      </c>
      <c r="C409" s="3">
        <v>45334</v>
      </c>
      <c r="D409" s="4" t="s">
        <v>5</v>
      </c>
      <c r="E409" s="4" t="s">
        <v>1041</v>
      </c>
      <c r="F409" s="4" t="s">
        <v>15</v>
      </c>
      <c r="G409" s="4">
        <v>19</v>
      </c>
      <c r="H409" s="4">
        <v>54393</v>
      </c>
      <c r="I409" s="4">
        <f t="shared" si="6"/>
        <v>1033467</v>
      </c>
    </row>
    <row r="410" spans="1:9" x14ac:dyDescent="0.3">
      <c r="A410" s="1">
        <v>409</v>
      </c>
      <c r="B410" s="2" t="s">
        <v>421</v>
      </c>
      <c r="C410" s="3">
        <v>45335</v>
      </c>
      <c r="D410" s="4" t="s">
        <v>5</v>
      </c>
      <c r="E410" s="4" t="s">
        <v>20</v>
      </c>
      <c r="F410" s="4" t="s">
        <v>1026</v>
      </c>
      <c r="G410" s="4">
        <v>7</v>
      </c>
      <c r="H410" s="4">
        <v>36174</v>
      </c>
      <c r="I410" s="4">
        <f t="shared" si="6"/>
        <v>253218</v>
      </c>
    </row>
    <row r="411" spans="1:9" x14ac:dyDescent="0.3">
      <c r="A411" s="1">
        <v>410</v>
      </c>
      <c r="B411" s="2" t="s">
        <v>422</v>
      </c>
      <c r="C411" s="3">
        <v>45336</v>
      </c>
      <c r="D411" s="4" t="s">
        <v>19</v>
      </c>
      <c r="E411" s="4" t="s">
        <v>2</v>
      </c>
      <c r="F411" s="4" t="s">
        <v>3</v>
      </c>
      <c r="G411" s="4">
        <v>9</v>
      </c>
      <c r="H411" s="4">
        <v>69450</v>
      </c>
      <c r="I411" s="4">
        <f t="shared" si="6"/>
        <v>625050</v>
      </c>
    </row>
    <row r="412" spans="1:9" x14ac:dyDescent="0.3">
      <c r="A412" s="1">
        <v>411</v>
      </c>
      <c r="B412" s="2" t="s">
        <v>423</v>
      </c>
      <c r="C412" s="3">
        <v>45337</v>
      </c>
      <c r="D412" s="4" t="s">
        <v>1</v>
      </c>
      <c r="E412" s="4" t="s">
        <v>20</v>
      </c>
      <c r="F412" s="4" t="s">
        <v>1024</v>
      </c>
      <c r="G412" s="4">
        <v>7</v>
      </c>
      <c r="H412" s="4">
        <v>40436</v>
      </c>
      <c r="I412" s="4">
        <f t="shared" si="6"/>
        <v>283052</v>
      </c>
    </row>
    <row r="413" spans="1:9" x14ac:dyDescent="0.3">
      <c r="A413" s="1">
        <v>412</v>
      </c>
      <c r="B413" s="2" t="s">
        <v>424</v>
      </c>
      <c r="C413" s="3">
        <v>45338</v>
      </c>
      <c r="D413" s="4" t="s">
        <v>5</v>
      </c>
      <c r="E413" s="4" t="s">
        <v>20</v>
      </c>
      <c r="F413" s="4" t="s">
        <v>1026</v>
      </c>
      <c r="G413" s="4">
        <v>13</v>
      </c>
      <c r="H413" s="4">
        <v>52406</v>
      </c>
      <c r="I413" s="4">
        <f t="shared" si="6"/>
        <v>681278</v>
      </c>
    </row>
    <row r="414" spans="1:9" x14ac:dyDescent="0.3">
      <c r="A414" s="1">
        <v>413</v>
      </c>
      <c r="B414" s="2" t="s">
        <v>425</v>
      </c>
      <c r="C414" s="3">
        <v>45339</v>
      </c>
      <c r="D414" s="4" t="s">
        <v>19</v>
      </c>
      <c r="E414" s="4" t="s">
        <v>11</v>
      </c>
      <c r="F414" s="4" t="s">
        <v>1026</v>
      </c>
      <c r="G414" s="4">
        <v>11</v>
      </c>
      <c r="H414" s="4">
        <v>68059</v>
      </c>
      <c r="I414" s="4">
        <f t="shared" si="6"/>
        <v>748649</v>
      </c>
    </row>
    <row r="415" spans="1:9" x14ac:dyDescent="0.3">
      <c r="A415" s="1">
        <v>414</v>
      </c>
      <c r="B415" s="2" t="s">
        <v>426</v>
      </c>
      <c r="C415" s="3">
        <v>45340</v>
      </c>
      <c r="D415" s="4" t="s">
        <v>7</v>
      </c>
      <c r="E415" s="4" t="s">
        <v>20</v>
      </c>
      <c r="F415" s="4" t="s">
        <v>3</v>
      </c>
      <c r="G415" s="4">
        <v>14</v>
      </c>
      <c r="H415" s="4">
        <v>20954</v>
      </c>
      <c r="I415" s="4">
        <f t="shared" si="6"/>
        <v>293356</v>
      </c>
    </row>
    <row r="416" spans="1:9" x14ac:dyDescent="0.3">
      <c r="A416" s="1">
        <v>415</v>
      </c>
      <c r="B416" s="2" t="s">
        <v>427</v>
      </c>
      <c r="C416" s="3">
        <v>45341</v>
      </c>
      <c r="D416" s="4" t="s">
        <v>1</v>
      </c>
      <c r="E416" s="4" t="s">
        <v>20</v>
      </c>
      <c r="F416" s="4" t="s">
        <v>1022</v>
      </c>
      <c r="G416" s="4">
        <v>19</v>
      </c>
      <c r="H416" s="4">
        <v>17356</v>
      </c>
      <c r="I416" s="4">
        <f t="shared" si="6"/>
        <v>329764</v>
      </c>
    </row>
    <row r="417" spans="1:9" x14ac:dyDescent="0.3">
      <c r="A417" s="1">
        <v>416</v>
      </c>
      <c r="B417" s="2" t="s">
        <v>428</v>
      </c>
      <c r="C417" s="3">
        <v>45342</v>
      </c>
      <c r="D417" s="4" t="s">
        <v>7</v>
      </c>
      <c r="E417" s="4" t="s">
        <v>2</v>
      </c>
      <c r="F417" s="4" t="s">
        <v>3</v>
      </c>
      <c r="G417" s="4">
        <v>11</v>
      </c>
      <c r="H417" s="4">
        <v>7187</v>
      </c>
      <c r="I417" s="4">
        <f t="shared" si="6"/>
        <v>79057</v>
      </c>
    </row>
    <row r="418" spans="1:9" x14ac:dyDescent="0.3">
      <c r="A418" s="1">
        <v>417</v>
      </c>
      <c r="B418" s="2" t="s">
        <v>429</v>
      </c>
      <c r="C418" s="3">
        <v>45343</v>
      </c>
      <c r="D418" s="4" t="s">
        <v>7</v>
      </c>
      <c r="E418" s="4" t="s">
        <v>11</v>
      </c>
      <c r="F418" s="4" t="s">
        <v>1024</v>
      </c>
      <c r="G418" s="4">
        <v>13</v>
      </c>
      <c r="H418" s="4">
        <v>40098</v>
      </c>
      <c r="I418" s="4">
        <f t="shared" si="6"/>
        <v>521274</v>
      </c>
    </row>
    <row r="419" spans="1:9" x14ac:dyDescent="0.3">
      <c r="A419" s="1">
        <v>418</v>
      </c>
      <c r="B419" s="2" t="s">
        <v>430</v>
      </c>
      <c r="C419" s="3">
        <v>45344</v>
      </c>
      <c r="D419" s="4" t="s">
        <v>19</v>
      </c>
      <c r="E419" s="4" t="s">
        <v>9</v>
      </c>
      <c r="F419" s="4" t="s">
        <v>1026</v>
      </c>
      <c r="G419" s="4">
        <v>14</v>
      </c>
      <c r="H419" s="4">
        <v>26225</v>
      </c>
      <c r="I419" s="4">
        <f t="shared" si="6"/>
        <v>367150</v>
      </c>
    </row>
    <row r="420" spans="1:9" x14ac:dyDescent="0.3">
      <c r="A420" s="1">
        <v>419</v>
      </c>
      <c r="B420" s="2" t="s">
        <v>431</v>
      </c>
      <c r="C420" s="3">
        <v>45345</v>
      </c>
      <c r="D420" s="4" t="s">
        <v>5</v>
      </c>
      <c r="E420" s="4" t="s">
        <v>2</v>
      </c>
      <c r="F420" s="4" t="s">
        <v>3</v>
      </c>
      <c r="G420" s="4">
        <v>13</v>
      </c>
      <c r="H420" s="4">
        <v>8606</v>
      </c>
      <c r="I420" s="4">
        <f t="shared" si="6"/>
        <v>111878</v>
      </c>
    </row>
    <row r="421" spans="1:9" x14ac:dyDescent="0.3">
      <c r="A421" s="1">
        <v>420</v>
      </c>
      <c r="B421" s="2" t="s">
        <v>432</v>
      </c>
      <c r="C421" s="3">
        <v>45346</v>
      </c>
      <c r="D421" s="4" t="s">
        <v>19</v>
      </c>
      <c r="E421" s="4" t="s">
        <v>2</v>
      </c>
      <c r="F421" s="4" t="s">
        <v>1023</v>
      </c>
      <c r="G421" s="4">
        <v>1</v>
      </c>
      <c r="H421" s="4">
        <v>62620</v>
      </c>
      <c r="I421" s="4">
        <f t="shared" si="6"/>
        <v>62620</v>
      </c>
    </row>
    <row r="422" spans="1:9" x14ac:dyDescent="0.3">
      <c r="A422" s="1">
        <v>421</v>
      </c>
      <c r="B422" s="2" t="s">
        <v>433</v>
      </c>
      <c r="C422" s="3">
        <v>45347</v>
      </c>
      <c r="D422" s="4" t="s">
        <v>19</v>
      </c>
      <c r="E422" s="4" t="s">
        <v>9</v>
      </c>
      <c r="F422" s="4" t="s">
        <v>1030</v>
      </c>
      <c r="G422" s="4">
        <v>8</v>
      </c>
      <c r="H422" s="4">
        <v>37828</v>
      </c>
      <c r="I422" s="4">
        <f t="shared" si="6"/>
        <v>302624</v>
      </c>
    </row>
    <row r="423" spans="1:9" x14ac:dyDescent="0.3">
      <c r="A423" s="1">
        <v>422</v>
      </c>
      <c r="B423" s="2" t="s">
        <v>434</v>
      </c>
      <c r="C423" s="3">
        <v>45348</v>
      </c>
      <c r="D423" s="4" t="s">
        <v>19</v>
      </c>
      <c r="E423" s="4" t="s">
        <v>20</v>
      </c>
      <c r="F423" s="4" t="s">
        <v>1032</v>
      </c>
      <c r="G423" s="4">
        <v>12</v>
      </c>
      <c r="H423" s="4">
        <v>31489</v>
      </c>
      <c r="I423" s="4">
        <f t="shared" si="6"/>
        <v>377868</v>
      </c>
    </row>
    <row r="424" spans="1:9" x14ac:dyDescent="0.3">
      <c r="A424" s="1">
        <v>423</v>
      </c>
      <c r="B424" s="2" t="s">
        <v>435</v>
      </c>
      <c r="C424" s="3">
        <v>45349</v>
      </c>
      <c r="D424" s="4" t="s">
        <v>19</v>
      </c>
      <c r="E424" s="4" t="s">
        <v>1041</v>
      </c>
      <c r="F424" s="4" t="s">
        <v>1023</v>
      </c>
      <c r="G424" s="4">
        <v>19</v>
      </c>
      <c r="H424" s="4">
        <v>19387</v>
      </c>
      <c r="I424" s="4">
        <f t="shared" si="6"/>
        <v>368353</v>
      </c>
    </row>
    <row r="425" spans="1:9" x14ac:dyDescent="0.3">
      <c r="A425" s="1">
        <v>424</v>
      </c>
      <c r="B425" s="2" t="s">
        <v>436</v>
      </c>
      <c r="C425" s="3">
        <v>45350</v>
      </c>
      <c r="D425" s="4" t="s">
        <v>1</v>
      </c>
      <c r="E425" s="4" t="s">
        <v>11</v>
      </c>
      <c r="F425" s="4" t="s">
        <v>1024</v>
      </c>
      <c r="G425" s="4">
        <v>12</v>
      </c>
      <c r="H425" s="4">
        <v>74463</v>
      </c>
      <c r="I425" s="4">
        <f t="shared" si="6"/>
        <v>893556</v>
      </c>
    </row>
    <row r="426" spans="1:9" x14ac:dyDescent="0.3">
      <c r="A426" s="1">
        <v>425</v>
      </c>
      <c r="B426" s="2" t="s">
        <v>437</v>
      </c>
      <c r="C426" s="3">
        <v>45351</v>
      </c>
      <c r="D426" s="4" t="s">
        <v>5</v>
      </c>
      <c r="E426" s="4" t="s">
        <v>1041</v>
      </c>
      <c r="F426" s="4" t="s">
        <v>1026</v>
      </c>
      <c r="G426" s="4">
        <v>8</v>
      </c>
      <c r="H426" s="4">
        <v>7591</v>
      </c>
      <c r="I426" s="4">
        <f t="shared" si="6"/>
        <v>60728</v>
      </c>
    </row>
    <row r="427" spans="1:9" x14ac:dyDescent="0.3">
      <c r="A427" s="1">
        <v>426</v>
      </c>
      <c r="B427" s="2" t="s">
        <v>438</v>
      </c>
      <c r="C427" s="3">
        <v>45352</v>
      </c>
      <c r="D427" s="4" t="s">
        <v>7</v>
      </c>
      <c r="E427" s="4" t="s">
        <v>9</v>
      </c>
      <c r="F427" s="4" t="s">
        <v>1030</v>
      </c>
      <c r="G427" s="4">
        <v>8</v>
      </c>
      <c r="H427" s="4">
        <v>53516</v>
      </c>
      <c r="I427" s="4">
        <f t="shared" si="6"/>
        <v>428128</v>
      </c>
    </row>
    <row r="428" spans="1:9" x14ac:dyDescent="0.3">
      <c r="A428" s="1">
        <v>427</v>
      </c>
      <c r="B428" s="2" t="s">
        <v>439</v>
      </c>
      <c r="C428" s="3">
        <v>45353</v>
      </c>
      <c r="D428" s="4" t="s">
        <v>7</v>
      </c>
      <c r="E428" s="4" t="s">
        <v>2</v>
      </c>
      <c r="F428" s="4" t="s">
        <v>1023</v>
      </c>
      <c r="G428" s="4">
        <v>13</v>
      </c>
      <c r="H428" s="4">
        <v>67061</v>
      </c>
      <c r="I428" s="4">
        <f t="shared" si="6"/>
        <v>871793</v>
      </c>
    </row>
    <row r="429" spans="1:9" x14ac:dyDescent="0.3">
      <c r="A429" s="1">
        <v>428</v>
      </c>
      <c r="B429" s="2" t="s">
        <v>440</v>
      </c>
      <c r="C429" s="3">
        <v>45354</v>
      </c>
      <c r="D429" s="4" t="s">
        <v>5</v>
      </c>
      <c r="E429" s="4" t="s">
        <v>2</v>
      </c>
      <c r="F429" s="4" t="s">
        <v>1032</v>
      </c>
      <c r="G429" s="4">
        <v>12</v>
      </c>
      <c r="H429" s="4">
        <v>71736</v>
      </c>
      <c r="I429" s="4">
        <f t="shared" si="6"/>
        <v>860832</v>
      </c>
    </row>
    <row r="430" spans="1:9" x14ac:dyDescent="0.3">
      <c r="A430" s="1">
        <v>429</v>
      </c>
      <c r="B430" s="2" t="s">
        <v>441</v>
      </c>
      <c r="C430" s="3">
        <v>45355</v>
      </c>
      <c r="D430" s="4" t="s">
        <v>7</v>
      </c>
      <c r="E430" s="4" t="s">
        <v>11</v>
      </c>
      <c r="F430" s="4" t="s">
        <v>1023</v>
      </c>
      <c r="G430" s="4">
        <v>16</v>
      </c>
      <c r="H430" s="4">
        <v>66753</v>
      </c>
      <c r="I430" s="4">
        <f t="shared" si="6"/>
        <v>1068048</v>
      </c>
    </row>
    <row r="431" spans="1:9" x14ac:dyDescent="0.3">
      <c r="A431" s="1">
        <v>430</v>
      </c>
      <c r="B431" s="2" t="s">
        <v>442</v>
      </c>
      <c r="C431" s="3">
        <v>45356</v>
      </c>
      <c r="D431" s="4" t="s">
        <v>5</v>
      </c>
      <c r="E431" s="4" t="s">
        <v>2</v>
      </c>
      <c r="F431" s="4" t="s">
        <v>1029</v>
      </c>
      <c r="G431" s="4">
        <v>1</v>
      </c>
      <c r="H431" s="4">
        <v>16087</v>
      </c>
      <c r="I431" s="4">
        <f t="shared" si="6"/>
        <v>16087</v>
      </c>
    </row>
    <row r="432" spans="1:9" x14ac:dyDescent="0.3">
      <c r="A432" s="1">
        <v>431</v>
      </c>
      <c r="B432" s="2" t="s">
        <v>443</v>
      </c>
      <c r="C432" s="3">
        <v>45357</v>
      </c>
      <c r="D432" s="4" t="s">
        <v>7</v>
      </c>
      <c r="E432" s="4" t="s">
        <v>2</v>
      </c>
      <c r="F432" s="4" t="s">
        <v>1032</v>
      </c>
      <c r="G432" s="4">
        <v>13</v>
      </c>
      <c r="H432" s="4">
        <v>35816</v>
      </c>
      <c r="I432" s="4">
        <f t="shared" si="6"/>
        <v>465608</v>
      </c>
    </row>
    <row r="433" spans="1:9" x14ac:dyDescent="0.3">
      <c r="A433" s="1">
        <v>432</v>
      </c>
      <c r="B433" s="2" t="s">
        <v>444</v>
      </c>
      <c r="C433" s="3">
        <v>45358</v>
      </c>
      <c r="D433" s="4" t="s">
        <v>19</v>
      </c>
      <c r="E433" s="4" t="s">
        <v>11</v>
      </c>
      <c r="F433" s="4" t="s">
        <v>1024</v>
      </c>
      <c r="G433" s="4">
        <v>7</v>
      </c>
      <c r="H433" s="4">
        <v>28408</v>
      </c>
      <c r="I433" s="4">
        <f t="shared" si="6"/>
        <v>198856</v>
      </c>
    </row>
    <row r="434" spans="1:9" x14ac:dyDescent="0.3">
      <c r="A434" s="1">
        <v>433</v>
      </c>
      <c r="B434" s="2" t="s">
        <v>445</v>
      </c>
      <c r="C434" s="3">
        <v>45359</v>
      </c>
      <c r="D434" s="4" t="s">
        <v>7</v>
      </c>
      <c r="E434" s="4" t="s">
        <v>11</v>
      </c>
      <c r="F434" s="4" t="s">
        <v>1026</v>
      </c>
      <c r="G434" s="4">
        <v>5</v>
      </c>
      <c r="H434" s="4">
        <v>5136</v>
      </c>
      <c r="I434" s="4">
        <f t="shared" si="6"/>
        <v>25680</v>
      </c>
    </row>
    <row r="435" spans="1:9" x14ac:dyDescent="0.3">
      <c r="A435" s="1">
        <v>434</v>
      </c>
      <c r="B435" s="2" t="s">
        <v>446</v>
      </c>
      <c r="C435" s="3">
        <v>45360</v>
      </c>
      <c r="D435" s="4" t="s">
        <v>5</v>
      </c>
      <c r="E435" s="4" t="s">
        <v>9</v>
      </c>
      <c r="F435" s="4" t="s">
        <v>1024</v>
      </c>
      <c r="G435" s="4">
        <v>8</v>
      </c>
      <c r="H435" s="4">
        <v>22413</v>
      </c>
      <c r="I435" s="4">
        <f t="shared" si="6"/>
        <v>179304</v>
      </c>
    </row>
    <row r="436" spans="1:9" x14ac:dyDescent="0.3">
      <c r="A436" s="1">
        <v>435</v>
      </c>
      <c r="B436" s="2" t="s">
        <v>447</v>
      </c>
      <c r="C436" s="3">
        <v>45361</v>
      </c>
      <c r="D436" s="4" t="s">
        <v>5</v>
      </c>
      <c r="E436" s="4" t="s">
        <v>2</v>
      </c>
      <c r="F436" s="4" t="s">
        <v>1030</v>
      </c>
      <c r="G436" s="4">
        <v>14</v>
      </c>
      <c r="H436" s="4">
        <v>64500</v>
      </c>
      <c r="I436" s="4">
        <f t="shared" si="6"/>
        <v>903000</v>
      </c>
    </row>
    <row r="437" spans="1:9" x14ac:dyDescent="0.3">
      <c r="A437" s="1">
        <v>436</v>
      </c>
      <c r="B437" s="2" t="s">
        <v>448</v>
      </c>
      <c r="C437" s="3">
        <v>45362</v>
      </c>
      <c r="D437" s="4" t="s">
        <v>5</v>
      </c>
      <c r="E437" s="4" t="s">
        <v>2</v>
      </c>
      <c r="F437" s="4" t="s">
        <v>1023</v>
      </c>
      <c r="G437" s="4">
        <v>13</v>
      </c>
      <c r="H437" s="4">
        <v>61358</v>
      </c>
      <c r="I437" s="4">
        <f t="shared" si="6"/>
        <v>797654</v>
      </c>
    </row>
    <row r="438" spans="1:9" x14ac:dyDescent="0.3">
      <c r="A438" s="1">
        <v>437</v>
      </c>
      <c r="B438" s="2" t="s">
        <v>449</v>
      </c>
      <c r="C438" s="3">
        <v>45363</v>
      </c>
      <c r="D438" s="4" t="s">
        <v>5</v>
      </c>
      <c r="E438" s="4" t="s">
        <v>1041</v>
      </c>
      <c r="F438" s="4" t="s">
        <v>1029</v>
      </c>
      <c r="G438" s="4">
        <v>15</v>
      </c>
      <c r="H438" s="4">
        <v>71197</v>
      </c>
      <c r="I438" s="4">
        <f t="shared" si="6"/>
        <v>1067955</v>
      </c>
    </row>
    <row r="439" spans="1:9" x14ac:dyDescent="0.3">
      <c r="A439" s="1">
        <v>438</v>
      </c>
      <c r="B439" s="2" t="s">
        <v>450</v>
      </c>
      <c r="C439" s="3">
        <v>45364</v>
      </c>
      <c r="D439" s="4" t="s">
        <v>5</v>
      </c>
      <c r="E439" s="4" t="s">
        <v>20</v>
      </c>
      <c r="F439" s="4" t="s">
        <v>1032</v>
      </c>
      <c r="G439" s="4">
        <v>17</v>
      </c>
      <c r="H439" s="4">
        <v>37854</v>
      </c>
      <c r="I439" s="4">
        <f t="shared" si="6"/>
        <v>643518</v>
      </c>
    </row>
    <row r="440" spans="1:9" x14ac:dyDescent="0.3">
      <c r="A440" s="1">
        <v>439</v>
      </c>
      <c r="B440" s="2" t="s">
        <v>451</v>
      </c>
      <c r="C440" s="3">
        <v>45365</v>
      </c>
      <c r="D440" s="4" t="s">
        <v>1</v>
      </c>
      <c r="E440" s="4" t="s">
        <v>20</v>
      </c>
      <c r="F440" s="4" t="s">
        <v>1032</v>
      </c>
      <c r="G440" s="4">
        <v>15</v>
      </c>
      <c r="H440" s="4">
        <v>21322</v>
      </c>
      <c r="I440" s="4">
        <f t="shared" si="6"/>
        <v>319830</v>
      </c>
    </row>
    <row r="441" spans="1:9" x14ac:dyDescent="0.3">
      <c r="A441" s="1">
        <v>440</v>
      </c>
      <c r="B441" s="2" t="s">
        <v>452</v>
      </c>
      <c r="C441" s="3">
        <v>45366</v>
      </c>
      <c r="D441" s="4" t="s">
        <v>1</v>
      </c>
      <c r="E441" s="4" t="s">
        <v>20</v>
      </c>
      <c r="F441" s="4" t="s">
        <v>1023</v>
      </c>
      <c r="G441" s="4">
        <v>18</v>
      </c>
      <c r="H441" s="4">
        <v>11968</v>
      </c>
      <c r="I441" s="4">
        <f t="shared" si="6"/>
        <v>215424</v>
      </c>
    </row>
    <row r="442" spans="1:9" x14ac:dyDescent="0.3">
      <c r="A442" s="1">
        <v>441</v>
      </c>
      <c r="B442" s="2" t="s">
        <v>453</v>
      </c>
      <c r="C442" s="3">
        <v>45367</v>
      </c>
      <c r="D442" s="4" t="s">
        <v>7</v>
      </c>
      <c r="E442" s="4" t="s">
        <v>1041</v>
      </c>
      <c r="F442" s="4" t="s">
        <v>1029</v>
      </c>
      <c r="G442" s="4">
        <v>18</v>
      </c>
      <c r="H442" s="4">
        <v>32518</v>
      </c>
      <c r="I442" s="4">
        <f t="shared" si="6"/>
        <v>585324</v>
      </c>
    </row>
    <row r="443" spans="1:9" x14ac:dyDescent="0.3">
      <c r="A443" s="1">
        <v>442</v>
      </c>
      <c r="B443" s="2" t="s">
        <v>454</v>
      </c>
      <c r="C443" s="3">
        <v>45368</v>
      </c>
      <c r="D443" s="4" t="s">
        <v>5</v>
      </c>
      <c r="E443" s="4" t="s">
        <v>2</v>
      </c>
      <c r="F443" s="4" t="s">
        <v>1023</v>
      </c>
      <c r="G443" s="4">
        <v>2</v>
      </c>
      <c r="H443" s="4">
        <v>56925</v>
      </c>
      <c r="I443" s="4">
        <f t="shared" si="6"/>
        <v>113850</v>
      </c>
    </row>
    <row r="444" spans="1:9" x14ac:dyDescent="0.3">
      <c r="A444" s="1">
        <v>443</v>
      </c>
      <c r="B444" s="2" t="s">
        <v>455</v>
      </c>
      <c r="C444" s="3">
        <v>45369</v>
      </c>
      <c r="D444" s="4" t="s">
        <v>7</v>
      </c>
      <c r="E444" s="4" t="s">
        <v>1041</v>
      </c>
      <c r="F444" s="4" t="s">
        <v>1030</v>
      </c>
      <c r="G444" s="4">
        <v>4</v>
      </c>
      <c r="H444" s="4">
        <v>64848</v>
      </c>
      <c r="I444" s="4">
        <f t="shared" si="6"/>
        <v>259392</v>
      </c>
    </row>
    <row r="445" spans="1:9" x14ac:dyDescent="0.3">
      <c r="A445" s="1">
        <v>444</v>
      </c>
      <c r="B445" s="2" t="s">
        <v>456</v>
      </c>
      <c r="C445" s="3">
        <v>45370</v>
      </c>
      <c r="D445" s="4" t="s">
        <v>5</v>
      </c>
      <c r="E445" s="4" t="s">
        <v>1041</v>
      </c>
      <c r="F445" s="4" t="s">
        <v>1024</v>
      </c>
      <c r="G445" s="4">
        <v>1</v>
      </c>
      <c r="H445" s="4">
        <v>6700</v>
      </c>
      <c r="I445" s="4">
        <f t="shared" si="6"/>
        <v>6700</v>
      </c>
    </row>
    <row r="446" spans="1:9" x14ac:dyDescent="0.3">
      <c r="A446" s="1">
        <v>445</v>
      </c>
      <c r="B446" s="2" t="s">
        <v>457</v>
      </c>
      <c r="C446" s="3">
        <v>45371</v>
      </c>
      <c r="D446" s="4" t="s">
        <v>5</v>
      </c>
      <c r="E446" s="4" t="s">
        <v>20</v>
      </c>
      <c r="F446" s="4" t="s">
        <v>1032</v>
      </c>
      <c r="G446" s="4">
        <v>4</v>
      </c>
      <c r="H446" s="4">
        <v>28199</v>
      </c>
      <c r="I446" s="4">
        <f t="shared" si="6"/>
        <v>112796</v>
      </c>
    </row>
    <row r="447" spans="1:9" x14ac:dyDescent="0.3">
      <c r="A447" s="1">
        <v>446</v>
      </c>
      <c r="B447" s="2" t="s">
        <v>458</v>
      </c>
      <c r="C447" s="3">
        <v>45372</v>
      </c>
      <c r="D447" s="4" t="s">
        <v>1</v>
      </c>
      <c r="E447" s="4" t="s">
        <v>1041</v>
      </c>
      <c r="F447" s="4" t="s">
        <v>1030</v>
      </c>
      <c r="G447" s="4">
        <v>18</v>
      </c>
      <c r="H447" s="4">
        <v>49589</v>
      </c>
      <c r="I447" s="4">
        <f t="shared" si="6"/>
        <v>892602</v>
      </c>
    </row>
    <row r="448" spans="1:9" x14ac:dyDescent="0.3">
      <c r="A448" s="1">
        <v>447</v>
      </c>
      <c r="B448" s="2" t="s">
        <v>459</v>
      </c>
      <c r="C448" s="3">
        <v>45373</v>
      </c>
      <c r="D448" s="4" t="s">
        <v>1</v>
      </c>
      <c r="E448" s="4" t="s">
        <v>2</v>
      </c>
      <c r="F448" s="4" t="s">
        <v>1024</v>
      </c>
      <c r="G448" s="4">
        <v>5</v>
      </c>
      <c r="H448" s="4">
        <v>37115</v>
      </c>
      <c r="I448" s="4">
        <f t="shared" si="6"/>
        <v>185575</v>
      </c>
    </row>
    <row r="449" spans="1:9" x14ac:dyDescent="0.3">
      <c r="A449" s="1">
        <v>448</v>
      </c>
      <c r="B449" s="2" t="s">
        <v>460</v>
      </c>
      <c r="C449" s="3">
        <v>45374</v>
      </c>
      <c r="D449" s="4" t="s">
        <v>19</v>
      </c>
      <c r="E449" s="4" t="s">
        <v>20</v>
      </c>
      <c r="F449" s="4" t="s">
        <v>1030</v>
      </c>
      <c r="G449" s="4">
        <v>19</v>
      </c>
      <c r="H449" s="4">
        <v>66934</v>
      </c>
      <c r="I449" s="4">
        <f t="shared" si="6"/>
        <v>1271746</v>
      </c>
    </row>
    <row r="450" spans="1:9" x14ac:dyDescent="0.3">
      <c r="A450" s="1">
        <v>449</v>
      </c>
      <c r="B450" s="2" t="s">
        <v>461</v>
      </c>
      <c r="C450" s="3">
        <v>45375</v>
      </c>
      <c r="D450" s="4" t="s">
        <v>1</v>
      </c>
      <c r="E450" s="4" t="s">
        <v>1041</v>
      </c>
      <c r="F450" s="4" t="s">
        <v>1029</v>
      </c>
      <c r="G450" s="4">
        <v>15</v>
      </c>
      <c r="H450" s="4">
        <v>59316</v>
      </c>
      <c r="I450" s="4">
        <f t="shared" si="6"/>
        <v>889740</v>
      </c>
    </row>
    <row r="451" spans="1:9" x14ac:dyDescent="0.3">
      <c r="A451" s="1">
        <v>450</v>
      </c>
      <c r="B451" s="2" t="s">
        <v>462</v>
      </c>
      <c r="C451" s="3">
        <v>45376</v>
      </c>
      <c r="D451" s="4" t="s">
        <v>19</v>
      </c>
      <c r="E451" s="4" t="s">
        <v>1041</v>
      </c>
      <c r="F451" s="4" t="s">
        <v>1032</v>
      </c>
      <c r="G451" s="4">
        <v>8</v>
      </c>
      <c r="H451" s="4">
        <v>10520</v>
      </c>
      <c r="I451" s="4">
        <f t="shared" ref="I451:I514" si="7">G451*H451</f>
        <v>84160</v>
      </c>
    </row>
    <row r="452" spans="1:9" x14ac:dyDescent="0.3">
      <c r="A452" s="1">
        <v>451</v>
      </c>
      <c r="B452" s="2" t="s">
        <v>463</v>
      </c>
      <c r="C452" s="3">
        <v>45377</v>
      </c>
      <c r="D452" s="4" t="s">
        <v>19</v>
      </c>
      <c r="E452" s="4" t="s">
        <v>11</v>
      </c>
      <c r="F452" s="4" t="s">
        <v>1023</v>
      </c>
      <c r="G452" s="4">
        <v>17</v>
      </c>
      <c r="H452" s="4">
        <v>41455</v>
      </c>
      <c r="I452" s="4">
        <f t="shared" si="7"/>
        <v>704735</v>
      </c>
    </row>
    <row r="453" spans="1:9" x14ac:dyDescent="0.3">
      <c r="A453" s="1">
        <v>452</v>
      </c>
      <c r="B453" s="2" t="s">
        <v>464</v>
      </c>
      <c r="C453" s="3">
        <v>45378</v>
      </c>
      <c r="D453" s="4" t="s">
        <v>19</v>
      </c>
      <c r="E453" s="4" t="s">
        <v>2</v>
      </c>
      <c r="F453" s="4" t="s">
        <v>1023</v>
      </c>
      <c r="G453" s="4">
        <v>1</v>
      </c>
      <c r="H453" s="4">
        <v>46605</v>
      </c>
      <c r="I453" s="4">
        <f t="shared" si="7"/>
        <v>46605</v>
      </c>
    </row>
    <row r="454" spans="1:9" x14ac:dyDescent="0.3">
      <c r="A454" s="1">
        <v>453</v>
      </c>
      <c r="B454" s="2" t="s">
        <v>465</v>
      </c>
      <c r="C454" s="3">
        <v>45379</v>
      </c>
      <c r="D454" s="4" t="s">
        <v>19</v>
      </c>
      <c r="E454" s="4" t="s">
        <v>24</v>
      </c>
      <c r="F454" s="4" t="s">
        <v>1024</v>
      </c>
      <c r="G454" s="4">
        <v>12</v>
      </c>
      <c r="H454" s="4">
        <v>19955</v>
      </c>
      <c r="I454" s="4">
        <f t="shared" si="7"/>
        <v>239460</v>
      </c>
    </row>
    <row r="455" spans="1:9" x14ac:dyDescent="0.3">
      <c r="A455" s="1">
        <v>454</v>
      </c>
      <c r="B455" s="2" t="s">
        <v>466</v>
      </c>
      <c r="C455" s="3">
        <v>45380</v>
      </c>
      <c r="D455" s="4" t="s">
        <v>19</v>
      </c>
      <c r="E455" s="4" t="s">
        <v>20</v>
      </c>
      <c r="F455" s="4" t="s">
        <v>1026</v>
      </c>
      <c r="G455" s="4">
        <v>19</v>
      </c>
      <c r="H455" s="4">
        <v>49049</v>
      </c>
      <c r="I455" s="4">
        <f t="shared" si="7"/>
        <v>931931</v>
      </c>
    </row>
    <row r="456" spans="1:9" x14ac:dyDescent="0.3">
      <c r="A456" s="1">
        <v>455</v>
      </c>
      <c r="B456" s="2" t="s">
        <v>467</v>
      </c>
      <c r="C456" s="3">
        <v>45381</v>
      </c>
      <c r="D456" s="4" t="s">
        <v>7</v>
      </c>
      <c r="E456" s="4" t="s">
        <v>11</v>
      </c>
      <c r="F456" s="4" t="s">
        <v>1029</v>
      </c>
      <c r="G456" s="4">
        <v>15</v>
      </c>
      <c r="H456" s="4">
        <v>18917</v>
      </c>
      <c r="I456" s="4">
        <f t="shared" si="7"/>
        <v>283755</v>
      </c>
    </row>
    <row r="457" spans="1:9" x14ac:dyDescent="0.3">
      <c r="A457" s="1">
        <v>456</v>
      </c>
      <c r="B457" s="2" t="s">
        <v>468</v>
      </c>
      <c r="C457" s="3">
        <v>45382</v>
      </c>
      <c r="D457" s="4" t="s">
        <v>1</v>
      </c>
      <c r="E457" s="4" t="s">
        <v>2</v>
      </c>
      <c r="F457" s="4" t="s">
        <v>1024</v>
      </c>
      <c r="G457" s="4">
        <v>9</v>
      </c>
      <c r="H457" s="4">
        <v>69925</v>
      </c>
      <c r="I457" s="4">
        <f t="shared" si="7"/>
        <v>629325</v>
      </c>
    </row>
    <row r="458" spans="1:9" x14ac:dyDescent="0.3">
      <c r="A458" s="1">
        <v>457</v>
      </c>
      <c r="B458" s="2" t="s">
        <v>469</v>
      </c>
      <c r="C458" s="3">
        <v>45383</v>
      </c>
      <c r="D458" s="4" t="s">
        <v>19</v>
      </c>
      <c r="E458" s="4" t="s">
        <v>1041</v>
      </c>
      <c r="F458" s="4" t="s">
        <v>1026</v>
      </c>
      <c r="G458" s="4">
        <v>7</v>
      </c>
      <c r="H458" s="4">
        <v>35954</v>
      </c>
      <c r="I458" s="4">
        <f t="shared" si="7"/>
        <v>251678</v>
      </c>
    </row>
    <row r="459" spans="1:9" x14ac:dyDescent="0.3">
      <c r="A459" s="1">
        <v>458</v>
      </c>
      <c r="B459" s="2" t="s">
        <v>470</v>
      </c>
      <c r="C459" s="3">
        <v>45384</v>
      </c>
      <c r="D459" s="4" t="s">
        <v>5</v>
      </c>
      <c r="E459" s="4" t="s">
        <v>20</v>
      </c>
      <c r="F459" s="4" t="s">
        <v>1030</v>
      </c>
      <c r="G459" s="4">
        <v>2</v>
      </c>
      <c r="H459" s="4">
        <v>46458</v>
      </c>
      <c r="I459" s="4">
        <f t="shared" si="7"/>
        <v>92916</v>
      </c>
    </row>
    <row r="460" spans="1:9" x14ac:dyDescent="0.3">
      <c r="A460" s="1">
        <v>459</v>
      </c>
      <c r="B460" s="2" t="s">
        <v>471</v>
      </c>
      <c r="C460" s="3">
        <v>45385</v>
      </c>
      <c r="D460" s="4" t="s">
        <v>1</v>
      </c>
      <c r="E460" s="4" t="s">
        <v>24</v>
      </c>
      <c r="F460" s="4" t="s">
        <v>1029</v>
      </c>
      <c r="G460" s="4">
        <v>9</v>
      </c>
      <c r="H460" s="4">
        <v>26113</v>
      </c>
      <c r="I460" s="4">
        <f t="shared" si="7"/>
        <v>235017</v>
      </c>
    </row>
    <row r="461" spans="1:9" x14ac:dyDescent="0.3">
      <c r="A461" s="1">
        <v>460</v>
      </c>
      <c r="B461" s="2" t="s">
        <v>472</v>
      </c>
      <c r="C461" s="3">
        <v>45386</v>
      </c>
      <c r="D461" s="4" t="s">
        <v>1</v>
      </c>
      <c r="E461" s="4" t="s">
        <v>24</v>
      </c>
      <c r="F461" s="4" t="s">
        <v>1030</v>
      </c>
      <c r="G461" s="4">
        <v>10</v>
      </c>
      <c r="H461" s="4">
        <v>48939</v>
      </c>
      <c r="I461" s="4">
        <f t="shared" si="7"/>
        <v>489390</v>
      </c>
    </row>
    <row r="462" spans="1:9" x14ac:dyDescent="0.3">
      <c r="A462" s="1">
        <v>461</v>
      </c>
      <c r="B462" s="2" t="s">
        <v>473</v>
      </c>
      <c r="C462" s="3">
        <v>45387</v>
      </c>
      <c r="D462" s="4" t="s">
        <v>19</v>
      </c>
      <c r="E462" s="4" t="s">
        <v>20</v>
      </c>
      <c r="F462" s="4" t="s">
        <v>1032</v>
      </c>
      <c r="G462" s="4">
        <v>2</v>
      </c>
      <c r="H462" s="4">
        <v>34345</v>
      </c>
      <c r="I462" s="4">
        <f t="shared" si="7"/>
        <v>68690</v>
      </c>
    </row>
    <row r="463" spans="1:9" x14ac:dyDescent="0.3">
      <c r="A463" s="1">
        <v>462</v>
      </c>
      <c r="B463" s="2" t="s">
        <v>474</v>
      </c>
      <c r="C463" s="3">
        <v>45388</v>
      </c>
      <c r="D463" s="4" t="s">
        <v>7</v>
      </c>
      <c r="E463" s="4" t="s">
        <v>24</v>
      </c>
      <c r="F463" s="4" t="s">
        <v>1029</v>
      </c>
      <c r="G463" s="4">
        <v>19</v>
      </c>
      <c r="H463" s="4">
        <v>51313</v>
      </c>
      <c r="I463" s="4">
        <f t="shared" si="7"/>
        <v>974947</v>
      </c>
    </row>
    <row r="464" spans="1:9" x14ac:dyDescent="0.3">
      <c r="A464" s="1">
        <v>463</v>
      </c>
      <c r="B464" s="2" t="s">
        <v>475</v>
      </c>
      <c r="C464" s="3">
        <v>45389</v>
      </c>
      <c r="D464" s="4" t="s">
        <v>19</v>
      </c>
      <c r="E464" s="4" t="s">
        <v>11</v>
      </c>
      <c r="F464" s="4" t="s">
        <v>1026</v>
      </c>
      <c r="G464" s="4">
        <v>11</v>
      </c>
      <c r="H464" s="4">
        <v>74166</v>
      </c>
      <c r="I464" s="4">
        <f t="shared" si="7"/>
        <v>815826</v>
      </c>
    </row>
    <row r="465" spans="1:9" x14ac:dyDescent="0.3">
      <c r="A465" s="1">
        <v>464</v>
      </c>
      <c r="B465" s="2" t="s">
        <v>476</v>
      </c>
      <c r="C465" s="3">
        <v>45390</v>
      </c>
      <c r="D465" s="4" t="s">
        <v>7</v>
      </c>
      <c r="E465" s="4" t="s">
        <v>2</v>
      </c>
      <c r="F465" s="4" t="s">
        <v>1032</v>
      </c>
      <c r="G465" s="4">
        <v>13</v>
      </c>
      <c r="H465" s="4">
        <v>52861</v>
      </c>
      <c r="I465" s="4">
        <f t="shared" si="7"/>
        <v>687193</v>
      </c>
    </row>
    <row r="466" spans="1:9" x14ac:dyDescent="0.3">
      <c r="A466" s="1">
        <v>465</v>
      </c>
      <c r="B466" s="2" t="s">
        <v>477</v>
      </c>
      <c r="C466" s="3">
        <v>45391</v>
      </c>
      <c r="D466" s="4" t="s">
        <v>5</v>
      </c>
      <c r="E466" s="4" t="s">
        <v>11</v>
      </c>
      <c r="F466" s="4" t="s">
        <v>1023</v>
      </c>
      <c r="G466" s="4">
        <v>10</v>
      </c>
      <c r="H466" s="4">
        <v>54298</v>
      </c>
      <c r="I466" s="4">
        <f t="shared" si="7"/>
        <v>542980</v>
      </c>
    </row>
    <row r="467" spans="1:9" x14ac:dyDescent="0.3">
      <c r="A467" s="1">
        <v>466</v>
      </c>
      <c r="B467" s="2" t="s">
        <v>478</v>
      </c>
      <c r="C467" s="3">
        <v>45392</v>
      </c>
      <c r="D467" s="4" t="s">
        <v>1</v>
      </c>
      <c r="E467" s="4" t="s">
        <v>24</v>
      </c>
      <c r="F467" s="4" t="s">
        <v>1027</v>
      </c>
      <c r="G467" s="4">
        <v>14</v>
      </c>
      <c r="H467" s="4">
        <v>52221</v>
      </c>
      <c r="I467" s="4">
        <f t="shared" si="7"/>
        <v>731094</v>
      </c>
    </row>
    <row r="468" spans="1:9" x14ac:dyDescent="0.3">
      <c r="A468" s="1">
        <v>467</v>
      </c>
      <c r="B468" s="2" t="s">
        <v>479</v>
      </c>
      <c r="C468" s="3">
        <v>45393</v>
      </c>
      <c r="D468" s="4" t="s">
        <v>5</v>
      </c>
      <c r="E468" s="4" t="s">
        <v>1041</v>
      </c>
      <c r="F468" s="4" t="s">
        <v>1024</v>
      </c>
      <c r="G468" s="4">
        <v>18</v>
      </c>
      <c r="H468" s="4">
        <v>49942</v>
      </c>
      <c r="I468" s="4">
        <f t="shared" si="7"/>
        <v>898956</v>
      </c>
    </row>
    <row r="469" spans="1:9" x14ac:dyDescent="0.3">
      <c r="A469" s="1">
        <v>468</v>
      </c>
      <c r="B469" s="2" t="s">
        <v>480</v>
      </c>
      <c r="C469" s="3">
        <v>45394</v>
      </c>
      <c r="D469" s="4" t="s">
        <v>7</v>
      </c>
      <c r="E469" s="4" t="s">
        <v>2</v>
      </c>
      <c r="F469" s="4" t="s">
        <v>1023</v>
      </c>
      <c r="G469" s="4">
        <v>19</v>
      </c>
      <c r="H469" s="4">
        <v>8453</v>
      </c>
      <c r="I469" s="4">
        <f t="shared" si="7"/>
        <v>160607</v>
      </c>
    </row>
    <row r="470" spans="1:9" x14ac:dyDescent="0.3">
      <c r="A470" s="1">
        <v>469</v>
      </c>
      <c r="B470" s="2" t="s">
        <v>481</v>
      </c>
      <c r="C470" s="3">
        <v>45395</v>
      </c>
      <c r="D470" s="4" t="s">
        <v>7</v>
      </c>
      <c r="E470" s="4" t="s">
        <v>2</v>
      </c>
      <c r="F470" s="4" t="s">
        <v>1023</v>
      </c>
      <c r="G470" s="4">
        <v>9</v>
      </c>
      <c r="H470" s="4">
        <v>59935</v>
      </c>
      <c r="I470" s="4">
        <f t="shared" si="7"/>
        <v>539415</v>
      </c>
    </row>
    <row r="471" spans="1:9" x14ac:dyDescent="0.3">
      <c r="A471" s="1">
        <v>470</v>
      </c>
      <c r="B471" s="2" t="s">
        <v>482</v>
      </c>
      <c r="C471" s="3">
        <v>45396</v>
      </c>
      <c r="D471" s="4" t="s">
        <v>5</v>
      </c>
      <c r="E471" s="4" t="s">
        <v>20</v>
      </c>
      <c r="F471" s="4" t="s">
        <v>1024</v>
      </c>
      <c r="G471" s="4">
        <v>7</v>
      </c>
      <c r="H471" s="4">
        <v>48370</v>
      </c>
      <c r="I471" s="4">
        <f t="shared" si="7"/>
        <v>338590</v>
      </c>
    </row>
    <row r="472" spans="1:9" x14ac:dyDescent="0.3">
      <c r="A472" s="1">
        <v>471</v>
      </c>
      <c r="B472" s="2" t="s">
        <v>483</v>
      </c>
      <c r="C472" s="3">
        <v>45397</v>
      </c>
      <c r="D472" s="4" t="s">
        <v>7</v>
      </c>
      <c r="E472" s="4" t="s">
        <v>20</v>
      </c>
      <c r="F472" s="4" t="s">
        <v>1029</v>
      </c>
      <c r="G472" s="4">
        <v>3</v>
      </c>
      <c r="H472" s="4">
        <v>13328</v>
      </c>
      <c r="I472" s="4">
        <f t="shared" si="7"/>
        <v>39984</v>
      </c>
    </row>
    <row r="473" spans="1:9" x14ac:dyDescent="0.3">
      <c r="A473" s="1">
        <v>472</v>
      </c>
      <c r="B473" s="2" t="s">
        <v>484</v>
      </c>
      <c r="C473" s="3">
        <v>45398</v>
      </c>
      <c r="D473" s="4" t="s">
        <v>5</v>
      </c>
      <c r="E473" s="4" t="s">
        <v>1041</v>
      </c>
      <c r="F473" s="4" t="s">
        <v>1023</v>
      </c>
      <c r="G473" s="4">
        <v>6</v>
      </c>
      <c r="H473" s="4">
        <v>20534</v>
      </c>
      <c r="I473" s="4">
        <f t="shared" si="7"/>
        <v>123204</v>
      </c>
    </row>
    <row r="474" spans="1:9" x14ac:dyDescent="0.3">
      <c r="A474" s="1">
        <v>473</v>
      </c>
      <c r="B474" s="2" t="s">
        <v>485</v>
      </c>
      <c r="C474" s="3">
        <v>45399</v>
      </c>
      <c r="D474" s="4" t="s">
        <v>1</v>
      </c>
      <c r="E474" s="4" t="s">
        <v>2</v>
      </c>
      <c r="F474" s="4" t="s">
        <v>1027</v>
      </c>
      <c r="G474" s="4">
        <v>2</v>
      </c>
      <c r="H474" s="4">
        <v>41320</v>
      </c>
      <c r="I474" s="4">
        <f t="shared" si="7"/>
        <v>82640</v>
      </c>
    </row>
    <row r="475" spans="1:9" x14ac:dyDescent="0.3">
      <c r="A475" s="1">
        <v>474</v>
      </c>
      <c r="B475" s="2" t="s">
        <v>486</v>
      </c>
      <c r="C475" s="3">
        <v>45400</v>
      </c>
      <c r="D475" s="4" t="s">
        <v>5</v>
      </c>
      <c r="E475" s="4" t="s">
        <v>1041</v>
      </c>
      <c r="F475" s="4" t="s">
        <v>1032</v>
      </c>
      <c r="G475" s="4">
        <v>6</v>
      </c>
      <c r="H475" s="4">
        <v>54170</v>
      </c>
      <c r="I475" s="4">
        <f t="shared" si="7"/>
        <v>325020</v>
      </c>
    </row>
    <row r="476" spans="1:9" x14ac:dyDescent="0.3">
      <c r="A476" s="1">
        <v>475</v>
      </c>
      <c r="B476" s="2" t="s">
        <v>487</v>
      </c>
      <c r="C476" s="3">
        <v>45401</v>
      </c>
      <c r="D476" s="4" t="s">
        <v>1</v>
      </c>
      <c r="E476" s="4" t="s">
        <v>20</v>
      </c>
      <c r="F476" s="4" t="s">
        <v>1023</v>
      </c>
      <c r="G476" s="4">
        <v>3</v>
      </c>
      <c r="H476" s="4">
        <v>13640</v>
      </c>
      <c r="I476" s="4">
        <f t="shared" si="7"/>
        <v>40920</v>
      </c>
    </row>
    <row r="477" spans="1:9" x14ac:dyDescent="0.3">
      <c r="A477" s="1">
        <v>476</v>
      </c>
      <c r="B477" s="2" t="s">
        <v>488</v>
      </c>
      <c r="C477" s="3">
        <v>45402</v>
      </c>
      <c r="D477" s="4" t="s">
        <v>5</v>
      </c>
      <c r="E477" s="4" t="s">
        <v>20</v>
      </c>
      <c r="F477" s="4" t="s">
        <v>1027</v>
      </c>
      <c r="G477" s="4">
        <v>16</v>
      </c>
      <c r="H477" s="4">
        <v>35049</v>
      </c>
      <c r="I477" s="4">
        <f t="shared" si="7"/>
        <v>560784</v>
      </c>
    </row>
    <row r="478" spans="1:9" x14ac:dyDescent="0.3">
      <c r="A478" s="1">
        <v>477</v>
      </c>
      <c r="B478" s="2" t="s">
        <v>489</v>
      </c>
      <c r="C478" s="3">
        <v>45403</v>
      </c>
      <c r="D478" s="4" t="s">
        <v>7</v>
      </c>
      <c r="E478" s="4" t="s">
        <v>2</v>
      </c>
      <c r="F478" s="4" t="s">
        <v>1030</v>
      </c>
      <c r="G478" s="4">
        <v>8</v>
      </c>
      <c r="H478" s="4">
        <v>10618</v>
      </c>
      <c r="I478" s="4">
        <f t="shared" si="7"/>
        <v>84944</v>
      </c>
    </row>
    <row r="479" spans="1:9" x14ac:dyDescent="0.3">
      <c r="A479" s="1">
        <v>478</v>
      </c>
      <c r="B479" s="2" t="s">
        <v>490</v>
      </c>
      <c r="C479" s="3">
        <v>45404</v>
      </c>
      <c r="D479" s="4" t="s">
        <v>5</v>
      </c>
      <c r="E479" s="4" t="s">
        <v>11</v>
      </c>
      <c r="F479" s="4" t="s">
        <v>1027</v>
      </c>
      <c r="G479" s="4">
        <v>2</v>
      </c>
      <c r="H479" s="4">
        <v>61053</v>
      </c>
      <c r="I479" s="4">
        <f t="shared" si="7"/>
        <v>122106</v>
      </c>
    </row>
    <row r="480" spans="1:9" x14ac:dyDescent="0.3">
      <c r="A480" s="1">
        <v>479</v>
      </c>
      <c r="B480" s="2" t="s">
        <v>491</v>
      </c>
      <c r="C480" s="3">
        <v>45405</v>
      </c>
      <c r="D480" s="4" t="s">
        <v>7</v>
      </c>
      <c r="E480" s="4" t="s">
        <v>24</v>
      </c>
      <c r="F480" s="4" t="s">
        <v>1032</v>
      </c>
      <c r="G480" s="4">
        <v>17</v>
      </c>
      <c r="H480" s="4">
        <v>6920</v>
      </c>
      <c r="I480" s="4">
        <f t="shared" si="7"/>
        <v>117640</v>
      </c>
    </row>
    <row r="481" spans="1:9" x14ac:dyDescent="0.3">
      <c r="A481" s="1">
        <v>480</v>
      </c>
      <c r="B481" s="2" t="s">
        <v>492</v>
      </c>
      <c r="C481" s="3">
        <v>45406</v>
      </c>
      <c r="D481" s="4" t="s">
        <v>5</v>
      </c>
      <c r="E481" s="4" t="s">
        <v>20</v>
      </c>
      <c r="F481" s="4" t="s">
        <v>1027</v>
      </c>
      <c r="G481" s="4">
        <v>9</v>
      </c>
      <c r="H481" s="4">
        <v>48937</v>
      </c>
      <c r="I481" s="4">
        <f t="shared" si="7"/>
        <v>440433</v>
      </c>
    </row>
    <row r="482" spans="1:9" x14ac:dyDescent="0.3">
      <c r="A482" s="1">
        <v>481</v>
      </c>
      <c r="B482" s="2" t="s">
        <v>493</v>
      </c>
      <c r="C482" s="3">
        <v>45407</v>
      </c>
      <c r="D482" s="4" t="s">
        <v>5</v>
      </c>
      <c r="E482" s="4" t="s">
        <v>20</v>
      </c>
      <c r="F482" s="4" t="s">
        <v>1024</v>
      </c>
      <c r="G482" s="4">
        <v>12</v>
      </c>
      <c r="H482" s="4">
        <v>74724</v>
      </c>
      <c r="I482" s="4">
        <f t="shared" si="7"/>
        <v>896688</v>
      </c>
    </row>
    <row r="483" spans="1:9" x14ac:dyDescent="0.3">
      <c r="A483" s="1">
        <v>482</v>
      </c>
      <c r="B483" s="2" t="s">
        <v>494</v>
      </c>
      <c r="C483" s="3">
        <v>45408</v>
      </c>
      <c r="D483" s="4" t="s">
        <v>19</v>
      </c>
      <c r="E483" s="4" t="s">
        <v>11</v>
      </c>
      <c r="F483" s="4" t="s">
        <v>1032</v>
      </c>
      <c r="G483" s="4">
        <v>3</v>
      </c>
      <c r="H483" s="4">
        <v>17207</v>
      </c>
      <c r="I483" s="4">
        <f t="shared" si="7"/>
        <v>51621</v>
      </c>
    </row>
    <row r="484" spans="1:9" x14ac:dyDescent="0.3">
      <c r="A484" s="1">
        <v>483</v>
      </c>
      <c r="B484" s="2" t="s">
        <v>495</v>
      </c>
      <c r="C484" s="3">
        <v>45409</v>
      </c>
      <c r="D484" s="4" t="s">
        <v>7</v>
      </c>
      <c r="E484" s="4" t="s">
        <v>11</v>
      </c>
      <c r="F484" s="4" t="s">
        <v>1029</v>
      </c>
      <c r="G484" s="4">
        <v>11</v>
      </c>
      <c r="H484" s="4">
        <v>70774</v>
      </c>
      <c r="I484" s="4">
        <f t="shared" si="7"/>
        <v>778514</v>
      </c>
    </row>
    <row r="485" spans="1:9" x14ac:dyDescent="0.3">
      <c r="A485" s="1">
        <v>484</v>
      </c>
      <c r="B485" s="2" t="s">
        <v>496</v>
      </c>
      <c r="C485" s="3">
        <v>45410</v>
      </c>
      <c r="D485" s="4" t="s">
        <v>19</v>
      </c>
      <c r="E485" s="4" t="s">
        <v>1041</v>
      </c>
      <c r="F485" s="4" t="s">
        <v>1030</v>
      </c>
      <c r="G485" s="4">
        <v>1</v>
      </c>
      <c r="H485" s="4">
        <v>37972</v>
      </c>
      <c r="I485" s="4">
        <f t="shared" si="7"/>
        <v>37972</v>
      </c>
    </row>
    <row r="486" spans="1:9" x14ac:dyDescent="0.3">
      <c r="A486" s="1">
        <v>485</v>
      </c>
      <c r="B486" s="2" t="s">
        <v>497</v>
      </c>
      <c r="C486" s="3">
        <v>45411</v>
      </c>
      <c r="D486" s="4" t="s">
        <v>7</v>
      </c>
      <c r="E486" s="4" t="s">
        <v>1041</v>
      </c>
      <c r="F486" s="4" t="s">
        <v>1024</v>
      </c>
      <c r="G486" s="4">
        <v>13</v>
      </c>
      <c r="H486" s="4">
        <v>15799</v>
      </c>
      <c r="I486" s="4">
        <f t="shared" si="7"/>
        <v>205387</v>
      </c>
    </row>
    <row r="487" spans="1:9" x14ac:dyDescent="0.3">
      <c r="A487" s="1">
        <v>486</v>
      </c>
      <c r="B487" s="2" t="s">
        <v>498</v>
      </c>
      <c r="C487" s="3">
        <v>45412</v>
      </c>
      <c r="D487" s="4" t="s">
        <v>19</v>
      </c>
      <c r="E487" s="4" t="s">
        <v>24</v>
      </c>
      <c r="F487" s="4" t="s">
        <v>1029</v>
      </c>
      <c r="G487" s="4">
        <v>15</v>
      </c>
      <c r="H487" s="4">
        <v>33916</v>
      </c>
      <c r="I487" s="4">
        <f t="shared" si="7"/>
        <v>508740</v>
      </c>
    </row>
    <row r="488" spans="1:9" x14ac:dyDescent="0.3">
      <c r="A488" s="1">
        <v>487</v>
      </c>
      <c r="B488" s="2" t="s">
        <v>499</v>
      </c>
      <c r="C488" s="3">
        <v>45413</v>
      </c>
      <c r="D488" s="4" t="s">
        <v>1</v>
      </c>
      <c r="E488" s="4" t="s">
        <v>24</v>
      </c>
      <c r="F488" s="4" t="s">
        <v>1027</v>
      </c>
      <c r="G488" s="4">
        <v>5</v>
      </c>
      <c r="H488" s="4">
        <v>42158</v>
      </c>
      <c r="I488" s="4">
        <f t="shared" si="7"/>
        <v>210790</v>
      </c>
    </row>
    <row r="489" spans="1:9" x14ac:dyDescent="0.3">
      <c r="A489" s="1">
        <v>488</v>
      </c>
      <c r="B489" s="2" t="s">
        <v>500</v>
      </c>
      <c r="C489" s="3">
        <v>45414</v>
      </c>
      <c r="D489" s="4" t="s">
        <v>5</v>
      </c>
      <c r="E489" s="4" t="s">
        <v>2</v>
      </c>
      <c r="F489" s="4" t="s">
        <v>1032</v>
      </c>
      <c r="G489" s="4">
        <v>17</v>
      </c>
      <c r="H489" s="4">
        <v>66510</v>
      </c>
      <c r="I489" s="4">
        <f t="shared" si="7"/>
        <v>1130670</v>
      </c>
    </row>
    <row r="490" spans="1:9" x14ac:dyDescent="0.3">
      <c r="A490" s="1">
        <v>489</v>
      </c>
      <c r="B490" s="2" t="s">
        <v>501</v>
      </c>
      <c r="C490" s="3">
        <v>45415</v>
      </c>
      <c r="D490" s="4" t="s">
        <v>7</v>
      </c>
      <c r="E490" s="4" t="s">
        <v>1041</v>
      </c>
      <c r="F490" s="4" t="s">
        <v>1030</v>
      </c>
      <c r="G490" s="4">
        <v>6</v>
      </c>
      <c r="H490" s="4">
        <v>63692</v>
      </c>
      <c r="I490" s="4">
        <f t="shared" si="7"/>
        <v>382152</v>
      </c>
    </row>
    <row r="491" spans="1:9" x14ac:dyDescent="0.3">
      <c r="A491" s="1">
        <v>490</v>
      </c>
      <c r="B491" s="2" t="s">
        <v>502</v>
      </c>
      <c r="C491" s="3">
        <v>45416</v>
      </c>
      <c r="D491" s="4" t="s">
        <v>7</v>
      </c>
      <c r="E491" s="4" t="s">
        <v>20</v>
      </c>
      <c r="F491" s="4" t="s">
        <v>1024</v>
      </c>
      <c r="G491" s="4">
        <v>11</v>
      </c>
      <c r="H491" s="4">
        <v>66744</v>
      </c>
      <c r="I491" s="4">
        <f t="shared" si="7"/>
        <v>734184</v>
      </c>
    </row>
    <row r="492" spans="1:9" x14ac:dyDescent="0.3">
      <c r="A492" s="1">
        <v>491</v>
      </c>
      <c r="B492" s="2" t="s">
        <v>503</v>
      </c>
      <c r="C492" s="3">
        <v>45417</v>
      </c>
      <c r="D492" s="4" t="s">
        <v>5</v>
      </c>
      <c r="E492" s="4" t="s">
        <v>1041</v>
      </c>
      <c r="F492" s="4" t="s">
        <v>1029</v>
      </c>
      <c r="G492" s="4">
        <v>18</v>
      </c>
      <c r="H492" s="4">
        <v>20810</v>
      </c>
      <c r="I492" s="4">
        <f t="shared" si="7"/>
        <v>374580</v>
      </c>
    </row>
    <row r="493" spans="1:9" x14ac:dyDescent="0.3">
      <c r="A493" s="1">
        <v>492</v>
      </c>
      <c r="B493" s="2" t="s">
        <v>504</v>
      </c>
      <c r="C493" s="3">
        <v>45418</v>
      </c>
      <c r="D493" s="4" t="s">
        <v>7</v>
      </c>
      <c r="E493" s="4" t="s">
        <v>20</v>
      </c>
      <c r="F493" s="4" t="s">
        <v>1029</v>
      </c>
      <c r="G493" s="4">
        <v>4</v>
      </c>
      <c r="H493" s="4">
        <v>10126</v>
      </c>
      <c r="I493" s="4">
        <f t="shared" si="7"/>
        <v>40504</v>
      </c>
    </row>
    <row r="494" spans="1:9" x14ac:dyDescent="0.3">
      <c r="A494" s="1">
        <v>493</v>
      </c>
      <c r="B494" s="2" t="s">
        <v>505</v>
      </c>
      <c r="C494" s="3">
        <v>45419</v>
      </c>
      <c r="D494" s="4" t="s">
        <v>7</v>
      </c>
      <c r="E494" s="4" t="s">
        <v>11</v>
      </c>
      <c r="F494" s="4" t="s">
        <v>1030</v>
      </c>
      <c r="G494" s="4">
        <v>3</v>
      </c>
      <c r="H494" s="4">
        <v>35009</v>
      </c>
      <c r="I494" s="4">
        <f t="shared" si="7"/>
        <v>105027</v>
      </c>
    </row>
    <row r="495" spans="1:9" x14ac:dyDescent="0.3">
      <c r="A495" s="1">
        <v>494</v>
      </c>
      <c r="B495" s="2" t="s">
        <v>506</v>
      </c>
      <c r="C495" s="3">
        <v>45420</v>
      </c>
      <c r="D495" s="4" t="s">
        <v>19</v>
      </c>
      <c r="E495" s="4" t="s">
        <v>1041</v>
      </c>
      <c r="F495" s="4" t="s">
        <v>1027</v>
      </c>
      <c r="G495" s="4">
        <v>13</v>
      </c>
      <c r="H495" s="4">
        <v>5192</v>
      </c>
      <c r="I495" s="4">
        <f t="shared" si="7"/>
        <v>67496</v>
      </c>
    </row>
    <row r="496" spans="1:9" x14ac:dyDescent="0.3">
      <c r="A496" s="1">
        <v>495</v>
      </c>
      <c r="B496" s="2" t="s">
        <v>507</v>
      </c>
      <c r="C496" s="3">
        <v>45421</v>
      </c>
      <c r="D496" s="4" t="s">
        <v>7</v>
      </c>
      <c r="E496" s="4" t="s">
        <v>11</v>
      </c>
      <c r="F496" s="4" t="s">
        <v>1030</v>
      </c>
      <c r="G496" s="4">
        <v>9</v>
      </c>
      <c r="H496" s="4">
        <v>41413</v>
      </c>
      <c r="I496" s="4">
        <f t="shared" si="7"/>
        <v>372717</v>
      </c>
    </row>
    <row r="497" spans="1:9" x14ac:dyDescent="0.3">
      <c r="A497" s="1">
        <v>496</v>
      </c>
      <c r="B497" s="2" t="s">
        <v>508</v>
      </c>
      <c r="C497" s="3">
        <v>45422</v>
      </c>
      <c r="D497" s="4" t="s">
        <v>1</v>
      </c>
      <c r="E497" s="4" t="s">
        <v>24</v>
      </c>
      <c r="F497" s="4" t="s">
        <v>1029</v>
      </c>
      <c r="G497" s="4">
        <v>6</v>
      </c>
      <c r="H497" s="4">
        <v>17816</v>
      </c>
      <c r="I497" s="4">
        <f t="shared" si="7"/>
        <v>106896</v>
      </c>
    </row>
    <row r="498" spans="1:9" x14ac:dyDescent="0.3">
      <c r="A498" s="1">
        <v>497</v>
      </c>
      <c r="B498" s="2" t="s">
        <v>509</v>
      </c>
      <c r="C498" s="3">
        <v>45423</v>
      </c>
      <c r="D498" s="4" t="s">
        <v>1</v>
      </c>
      <c r="E498" s="4" t="s">
        <v>24</v>
      </c>
      <c r="F498" s="4" t="s">
        <v>1023</v>
      </c>
      <c r="G498" s="4">
        <v>12</v>
      </c>
      <c r="H498" s="4">
        <v>44082</v>
      </c>
      <c r="I498" s="4">
        <f t="shared" si="7"/>
        <v>528984</v>
      </c>
    </row>
    <row r="499" spans="1:9" x14ac:dyDescent="0.3">
      <c r="A499" s="1">
        <v>498</v>
      </c>
      <c r="B499" s="2" t="s">
        <v>510</v>
      </c>
      <c r="C499" s="3">
        <v>45424</v>
      </c>
      <c r="D499" s="4" t="s">
        <v>5</v>
      </c>
      <c r="E499" s="4" t="s">
        <v>2</v>
      </c>
      <c r="F499" s="4" t="s">
        <v>1024</v>
      </c>
      <c r="G499" s="4">
        <v>2</v>
      </c>
      <c r="H499" s="4">
        <v>70048</v>
      </c>
      <c r="I499" s="4">
        <f t="shared" si="7"/>
        <v>140096</v>
      </c>
    </row>
    <row r="500" spans="1:9" x14ac:dyDescent="0.3">
      <c r="A500" s="1">
        <v>499</v>
      </c>
      <c r="B500" s="2" t="s">
        <v>511</v>
      </c>
      <c r="C500" s="3">
        <v>45425</v>
      </c>
      <c r="D500" s="4" t="s">
        <v>7</v>
      </c>
      <c r="E500" s="4" t="s">
        <v>1041</v>
      </c>
      <c r="F500" s="4" t="s">
        <v>1030</v>
      </c>
      <c r="G500" s="4">
        <v>3</v>
      </c>
      <c r="H500" s="4">
        <v>55940</v>
      </c>
      <c r="I500" s="4">
        <f t="shared" si="7"/>
        <v>167820</v>
      </c>
    </row>
    <row r="501" spans="1:9" x14ac:dyDescent="0.3">
      <c r="A501" s="1">
        <v>500</v>
      </c>
      <c r="B501" s="2" t="s">
        <v>512</v>
      </c>
      <c r="C501" s="3">
        <v>45426</v>
      </c>
      <c r="D501" s="4" t="s">
        <v>5</v>
      </c>
      <c r="E501" s="4" t="s">
        <v>11</v>
      </c>
      <c r="F501" s="4" t="s">
        <v>1029</v>
      </c>
      <c r="G501" s="4">
        <v>3</v>
      </c>
      <c r="H501" s="4">
        <v>37130</v>
      </c>
      <c r="I501" s="4">
        <f t="shared" si="7"/>
        <v>111390</v>
      </c>
    </row>
    <row r="502" spans="1:9" x14ac:dyDescent="0.3">
      <c r="A502" s="1">
        <v>501</v>
      </c>
      <c r="B502" s="2" t="s">
        <v>513</v>
      </c>
      <c r="C502" s="3">
        <v>45427</v>
      </c>
      <c r="D502" s="4" t="s">
        <v>1</v>
      </c>
      <c r="E502" s="4" t="s">
        <v>20</v>
      </c>
      <c r="F502" s="4" t="s">
        <v>1027</v>
      </c>
      <c r="G502" s="4">
        <v>12</v>
      </c>
      <c r="H502" s="4">
        <v>45142</v>
      </c>
      <c r="I502" s="4">
        <f t="shared" si="7"/>
        <v>541704</v>
      </c>
    </row>
    <row r="503" spans="1:9" x14ac:dyDescent="0.3">
      <c r="A503" s="1">
        <v>502</v>
      </c>
      <c r="B503" s="2" t="s">
        <v>514</v>
      </c>
      <c r="C503" s="3">
        <v>45428</v>
      </c>
      <c r="D503" s="4" t="s">
        <v>7</v>
      </c>
      <c r="E503" s="4" t="s">
        <v>24</v>
      </c>
      <c r="F503" s="4" t="s">
        <v>1029</v>
      </c>
      <c r="G503" s="4">
        <v>15</v>
      </c>
      <c r="H503" s="4">
        <v>41468</v>
      </c>
      <c r="I503" s="4">
        <f t="shared" si="7"/>
        <v>622020</v>
      </c>
    </row>
    <row r="504" spans="1:9" x14ac:dyDescent="0.3">
      <c r="A504" s="1">
        <v>503</v>
      </c>
      <c r="B504" s="2" t="s">
        <v>515</v>
      </c>
      <c r="C504" s="3">
        <v>45429</v>
      </c>
      <c r="D504" s="4" t="s">
        <v>7</v>
      </c>
      <c r="E504" s="4" t="s">
        <v>24</v>
      </c>
      <c r="F504" s="4" t="s">
        <v>1027</v>
      </c>
      <c r="G504" s="4">
        <v>9</v>
      </c>
      <c r="H504" s="4">
        <v>35698</v>
      </c>
      <c r="I504" s="4">
        <f t="shared" si="7"/>
        <v>321282</v>
      </c>
    </row>
    <row r="505" spans="1:9" x14ac:dyDescent="0.3">
      <c r="A505" s="1">
        <v>504</v>
      </c>
      <c r="B505" s="2" t="s">
        <v>516</v>
      </c>
      <c r="C505" s="3">
        <v>45430</v>
      </c>
      <c r="D505" s="4" t="s">
        <v>5</v>
      </c>
      <c r="E505" s="4" t="s">
        <v>20</v>
      </c>
      <c r="F505" s="4" t="s">
        <v>1030</v>
      </c>
      <c r="G505" s="4">
        <v>8</v>
      </c>
      <c r="H505" s="4">
        <v>15655</v>
      </c>
      <c r="I505" s="4">
        <f t="shared" si="7"/>
        <v>125240</v>
      </c>
    </row>
    <row r="506" spans="1:9" x14ac:dyDescent="0.3">
      <c r="A506" s="1">
        <v>505</v>
      </c>
      <c r="B506" s="2" t="s">
        <v>517</v>
      </c>
      <c r="C506" s="3">
        <v>45431</v>
      </c>
      <c r="D506" s="4" t="s">
        <v>1</v>
      </c>
      <c r="E506" s="4" t="s">
        <v>11</v>
      </c>
      <c r="F506" s="4" t="s">
        <v>1027</v>
      </c>
      <c r="G506" s="4">
        <v>11</v>
      </c>
      <c r="H506" s="4">
        <v>52897</v>
      </c>
      <c r="I506" s="4">
        <f t="shared" si="7"/>
        <v>581867</v>
      </c>
    </row>
    <row r="507" spans="1:9" x14ac:dyDescent="0.3">
      <c r="A507" s="1">
        <v>506</v>
      </c>
      <c r="B507" s="2" t="s">
        <v>518</v>
      </c>
      <c r="C507" s="3">
        <v>45432</v>
      </c>
      <c r="D507" s="4" t="s">
        <v>7</v>
      </c>
      <c r="E507" s="4" t="s">
        <v>11</v>
      </c>
      <c r="F507" s="4" t="s">
        <v>1032</v>
      </c>
      <c r="G507" s="4">
        <v>16</v>
      </c>
      <c r="H507" s="4">
        <v>35075</v>
      </c>
      <c r="I507" s="4">
        <f t="shared" si="7"/>
        <v>561200</v>
      </c>
    </row>
    <row r="508" spans="1:9" x14ac:dyDescent="0.3">
      <c r="A508" s="1">
        <v>507</v>
      </c>
      <c r="B508" s="2" t="s">
        <v>519</v>
      </c>
      <c r="C508" s="3">
        <v>45433</v>
      </c>
      <c r="D508" s="4" t="s">
        <v>5</v>
      </c>
      <c r="E508" s="4" t="s">
        <v>1041</v>
      </c>
      <c r="F508" s="4" t="s">
        <v>1032</v>
      </c>
      <c r="G508" s="4">
        <v>4</v>
      </c>
      <c r="H508" s="4">
        <v>14359</v>
      </c>
      <c r="I508" s="4">
        <f t="shared" si="7"/>
        <v>57436</v>
      </c>
    </row>
    <row r="509" spans="1:9" x14ac:dyDescent="0.3">
      <c r="A509" s="1">
        <v>508</v>
      </c>
      <c r="B509" s="2" t="s">
        <v>520</v>
      </c>
      <c r="C509" s="3">
        <v>45434</v>
      </c>
      <c r="D509" s="4" t="s">
        <v>1</v>
      </c>
      <c r="E509" s="4" t="s">
        <v>1041</v>
      </c>
      <c r="F509" s="4" t="s">
        <v>1032</v>
      </c>
      <c r="G509" s="4">
        <v>1</v>
      </c>
      <c r="H509" s="4">
        <v>47056</v>
      </c>
      <c r="I509" s="4">
        <f t="shared" si="7"/>
        <v>47056</v>
      </c>
    </row>
    <row r="510" spans="1:9" x14ac:dyDescent="0.3">
      <c r="A510" s="1">
        <v>509</v>
      </c>
      <c r="B510" s="2" t="s">
        <v>521</v>
      </c>
      <c r="C510" s="3">
        <v>45435</v>
      </c>
      <c r="D510" s="4" t="s">
        <v>5</v>
      </c>
      <c r="E510" s="4" t="s">
        <v>2</v>
      </c>
      <c r="F510" s="4" t="s">
        <v>1023</v>
      </c>
      <c r="G510" s="4">
        <v>7</v>
      </c>
      <c r="H510" s="4">
        <v>56831</v>
      </c>
      <c r="I510" s="4">
        <f t="shared" si="7"/>
        <v>397817</v>
      </c>
    </row>
    <row r="511" spans="1:9" x14ac:dyDescent="0.3">
      <c r="A511" s="1">
        <v>510</v>
      </c>
      <c r="B511" s="2" t="s">
        <v>522</v>
      </c>
      <c r="C511" s="3">
        <v>45436</v>
      </c>
      <c r="D511" s="4" t="s">
        <v>19</v>
      </c>
      <c r="E511" s="4" t="s">
        <v>24</v>
      </c>
      <c r="F511" s="4" t="s">
        <v>1030</v>
      </c>
      <c r="G511" s="4">
        <v>2</v>
      </c>
      <c r="H511" s="4">
        <v>64191</v>
      </c>
      <c r="I511" s="4">
        <f t="shared" si="7"/>
        <v>128382</v>
      </c>
    </row>
    <row r="512" spans="1:9" x14ac:dyDescent="0.3">
      <c r="A512" s="1">
        <v>511</v>
      </c>
      <c r="B512" s="2" t="s">
        <v>523</v>
      </c>
      <c r="C512" s="3">
        <v>45437</v>
      </c>
      <c r="D512" s="4" t="s">
        <v>7</v>
      </c>
      <c r="E512" s="4" t="s">
        <v>1041</v>
      </c>
      <c r="F512" s="4" t="s">
        <v>1029</v>
      </c>
      <c r="G512" s="4">
        <v>5</v>
      </c>
      <c r="H512" s="4">
        <v>38272</v>
      </c>
      <c r="I512" s="4">
        <f t="shared" si="7"/>
        <v>191360</v>
      </c>
    </row>
    <row r="513" spans="1:9" x14ac:dyDescent="0.3">
      <c r="A513" s="1">
        <v>512</v>
      </c>
      <c r="B513" s="2" t="s">
        <v>524</v>
      </c>
      <c r="C513" s="3">
        <v>45438</v>
      </c>
      <c r="D513" s="4" t="s">
        <v>19</v>
      </c>
      <c r="E513" s="4" t="s">
        <v>11</v>
      </c>
      <c r="F513" s="4" t="s">
        <v>1029</v>
      </c>
      <c r="G513" s="4">
        <v>7</v>
      </c>
      <c r="H513" s="4">
        <v>19671</v>
      </c>
      <c r="I513" s="4">
        <f t="shared" si="7"/>
        <v>137697</v>
      </c>
    </row>
    <row r="514" spans="1:9" x14ac:dyDescent="0.3">
      <c r="A514" s="1">
        <v>513</v>
      </c>
      <c r="B514" s="2" t="s">
        <v>525</v>
      </c>
      <c r="C514" s="3">
        <v>45439</v>
      </c>
      <c r="D514" s="4" t="s">
        <v>1</v>
      </c>
      <c r="E514" s="4" t="s">
        <v>20</v>
      </c>
      <c r="F514" s="4" t="s">
        <v>1023</v>
      </c>
      <c r="G514" s="4">
        <v>4</v>
      </c>
      <c r="H514" s="4">
        <v>32048</v>
      </c>
      <c r="I514" s="4">
        <f t="shared" si="7"/>
        <v>128192</v>
      </c>
    </row>
    <row r="515" spans="1:9" x14ac:dyDescent="0.3">
      <c r="A515" s="1">
        <v>514</v>
      </c>
      <c r="B515" s="2" t="s">
        <v>526</v>
      </c>
      <c r="C515" s="3">
        <v>45440</v>
      </c>
      <c r="D515" s="4" t="s">
        <v>19</v>
      </c>
      <c r="E515" s="4" t="s">
        <v>11</v>
      </c>
      <c r="F515" s="4" t="s">
        <v>1027</v>
      </c>
      <c r="G515" s="4">
        <v>5</v>
      </c>
      <c r="H515" s="4">
        <v>30963</v>
      </c>
      <c r="I515" s="4">
        <f t="shared" ref="I515:I578" si="8">G515*H515</f>
        <v>154815</v>
      </c>
    </row>
    <row r="516" spans="1:9" x14ac:dyDescent="0.3">
      <c r="A516" s="1">
        <v>515</v>
      </c>
      <c r="B516" s="2" t="s">
        <v>527</v>
      </c>
      <c r="C516" s="3">
        <v>45441</v>
      </c>
      <c r="D516" s="4" t="s">
        <v>19</v>
      </c>
      <c r="E516" s="4" t="s">
        <v>24</v>
      </c>
      <c r="F516" s="4" t="s">
        <v>1023</v>
      </c>
      <c r="G516" s="4">
        <v>1</v>
      </c>
      <c r="H516" s="4">
        <v>48954</v>
      </c>
      <c r="I516" s="4">
        <f t="shared" si="8"/>
        <v>48954</v>
      </c>
    </row>
    <row r="517" spans="1:9" x14ac:dyDescent="0.3">
      <c r="A517" s="1">
        <v>516</v>
      </c>
      <c r="B517" s="2" t="s">
        <v>528</v>
      </c>
      <c r="C517" s="3">
        <v>45442</v>
      </c>
      <c r="D517" s="4" t="s">
        <v>1</v>
      </c>
      <c r="E517" s="4" t="s">
        <v>11</v>
      </c>
      <c r="F517" s="4" t="s">
        <v>1027</v>
      </c>
      <c r="G517" s="4">
        <v>1</v>
      </c>
      <c r="H517" s="4">
        <v>5717</v>
      </c>
      <c r="I517" s="4">
        <f t="shared" si="8"/>
        <v>5717</v>
      </c>
    </row>
    <row r="518" spans="1:9" x14ac:dyDescent="0.3">
      <c r="A518" s="1">
        <v>517</v>
      </c>
      <c r="B518" s="2" t="s">
        <v>529</v>
      </c>
      <c r="C518" s="3">
        <v>45443</v>
      </c>
      <c r="D518" s="4" t="s">
        <v>5</v>
      </c>
      <c r="E518" s="4" t="s">
        <v>2</v>
      </c>
      <c r="F518" s="4" t="s">
        <v>1027</v>
      </c>
      <c r="G518" s="4">
        <v>15</v>
      </c>
      <c r="H518" s="4">
        <v>16676</v>
      </c>
      <c r="I518" s="4">
        <f t="shared" si="8"/>
        <v>250140</v>
      </c>
    </row>
    <row r="519" spans="1:9" x14ac:dyDescent="0.3">
      <c r="A519" s="1">
        <v>518</v>
      </c>
      <c r="B519" s="2" t="s">
        <v>530</v>
      </c>
      <c r="C519" s="3">
        <v>45444</v>
      </c>
      <c r="D519" s="4" t="s">
        <v>19</v>
      </c>
      <c r="E519" s="4" t="s">
        <v>24</v>
      </c>
      <c r="F519" s="4" t="s">
        <v>1024</v>
      </c>
      <c r="G519" s="4">
        <v>19</v>
      </c>
      <c r="H519" s="4">
        <v>9434</v>
      </c>
      <c r="I519" s="4">
        <f t="shared" si="8"/>
        <v>179246</v>
      </c>
    </row>
    <row r="520" spans="1:9" x14ac:dyDescent="0.3">
      <c r="A520" s="1">
        <v>519</v>
      </c>
      <c r="B520" s="2" t="s">
        <v>531</v>
      </c>
      <c r="C520" s="3">
        <v>45445</v>
      </c>
      <c r="D520" s="4" t="s">
        <v>5</v>
      </c>
      <c r="E520" s="4" t="s">
        <v>20</v>
      </c>
      <c r="F520" s="4" t="s">
        <v>1029</v>
      </c>
      <c r="G520" s="4">
        <v>10</v>
      </c>
      <c r="H520" s="4">
        <v>54810</v>
      </c>
      <c r="I520" s="4">
        <f t="shared" si="8"/>
        <v>548100</v>
      </c>
    </row>
    <row r="521" spans="1:9" x14ac:dyDescent="0.3">
      <c r="A521" s="1">
        <v>520</v>
      </c>
      <c r="B521" s="2" t="s">
        <v>532</v>
      </c>
      <c r="C521" s="3">
        <v>45446</v>
      </c>
      <c r="D521" s="4" t="s">
        <v>19</v>
      </c>
      <c r="E521" s="4" t="s">
        <v>2</v>
      </c>
      <c r="F521" s="4" t="s">
        <v>1032</v>
      </c>
      <c r="G521" s="4">
        <v>18</v>
      </c>
      <c r="H521" s="4">
        <v>9994</v>
      </c>
      <c r="I521" s="4">
        <f t="shared" si="8"/>
        <v>179892</v>
      </c>
    </row>
    <row r="522" spans="1:9" x14ac:dyDescent="0.3">
      <c r="A522" s="1">
        <v>521</v>
      </c>
      <c r="B522" s="2" t="s">
        <v>533</v>
      </c>
      <c r="C522" s="3">
        <v>45447</v>
      </c>
      <c r="D522" s="4" t="s">
        <v>5</v>
      </c>
      <c r="E522" s="4" t="s">
        <v>24</v>
      </c>
      <c r="F522" s="4" t="s">
        <v>1027</v>
      </c>
      <c r="G522" s="4">
        <v>3</v>
      </c>
      <c r="H522" s="4">
        <v>9234</v>
      </c>
      <c r="I522" s="4">
        <f t="shared" si="8"/>
        <v>27702</v>
      </c>
    </row>
    <row r="523" spans="1:9" x14ac:dyDescent="0.3">
      <c r="A523" s="1">
        <v>522</v>
      </c>
      <c r="B523" s="2" t="s">
        <v>534</v>
      </c>
      <c r="C523" s="3">
        <v>45448</v>
      </c>
      <c r="D523" s="4" t="s">
        <v>1</v>
      </c>
      <c r="E523" s="4" t="s">
        <v>20</v>
      </c>
      <c r="F523" s="4" t="s">
        <v>1024</v>
      </c>
      <c r="G523" s="4">
        <v>11</v>
      </c>
      <c r="H523" s="4">
        <v>74300</v>
      </c>
      <c r="I523" s="4">
        <f t="shared" si="8"/>
        <v>817300</v>
      </c>
    </row>
    <row r="524" spans="1:9" x14ac:dyDescent="0.3">
      <c r="A524" s="1">
        <v>523</v>
      </c>
      <c r="B524" s="2" t="s">
        <v>535</v>
      </c>
      <c r="C524" s="3">
        <v>45449</v>
      </c>
      <c r="D524" s="4" t="s">
        <v>19</v>
      </c>
      <c r="E524" s="4" t="s">
        <v>2</v>
      </c>
      <c r="F524" s="4" t="s">
        <v>1029</v>
      </c>
      <c r="G524" s="4">
        <v>15</v>
      </c>
      <c r="H524" s="4">
        <v>48949</v>
      </c>
      <c r="I524" s="4">
        <f t="shared" si="8"/>
        <v>734235</v>
      </c>
    </row>
    <row r="525" spans="1:9" x14ac:dyDescent="0.3">
      <c r="A525" s="1">
        <v>524</v>
      </c>
      <c r="B525" s="2" t="s">
        <v>536</v>
      </c>
      <c r="C525" s="3">
        <v>45450</v>
      </c>
      <c r="D525" s="4" t="s">
        <v>1</v>
      </c>
      <c r="E525" s="4" t="s">
        <v>2</v>
      </c>
      <c r="F525" s="4" t="s">
        <v>1032</v>
      </c>
      <c r="G525" s="4">
        <v>11</v>
      </c>
      <c r="H525" s="4">
        <v>42405</v>
      </c>
      <c r="I525" s="4">
        <f t="shared" si="8"/>
        <v>466455</v>
      </c>
    </row>
    <row r="526" spans="1:9" x14ac:dyDescent="0.3">
      <c r="A526" s="1">
        <v>525</v>
      </c>
      <c r="B526" s="2" t="s">
        <v>537</v>
      </c>
      <c r="C526" s="3">
        <v>45451</v>
      </c>
      <c r="D526" s="4" t="s">
        <v>19</v>
      </c>
      <c r="E526" s="4" t="s">
        <v>24</v>
      </c>
      <c r="F526" s="4" t="s">
        <v>1027</v>
      </c>
      <c r="G526" s="4">
        <v>17</v>
      </c>
      <c r="H526" s="4">
        <v>39872</v>
      </c>
      <c r="I526" s="4">
        <f t="shared" si="8"/>
        <v>677824</v>
      </c>
    </row>
    <row r="527" spans="1:9" x14ac:dyDescent="0.3">
      <c r="A527" s="1">
        <v>526</v>
      </c>
      <c r="B527" s="2" t="s">
        <v>538</v>
      </c>
      <c r="C527" s="3">
        <v>45452</v>
      </c>
      <c r="D527" s="4" t="s">
        <v>1</v>
      </c>
      <c r="E527" s="4" t="s">
        <v>1041</v>
      </c>
      <c r="F527" s="4" t="s">
        <v>1027</v>
      </c>
      <c r="G527" s="4">
        <v>17</v>
      </c>
      <c r="H527" s="4">
        <v>47215</v>
      </c>
      <c r="I527" s="4">
        <f t="shared" si="8"/>
        <v>802655</v>
      </c>
    </row>
    <row r="528" spans="1:9" x14ac:dyDescent="0.3">
      <c r="A528" s="1">
        <v>527</v>
      </c>
      <c r="B528" s="2" t="s">
        <v>539</v>
      </c>
      <c r="C528" s="3">
        <v>45453</v>
      </c>
      <c r="D528" s="4" t="s">
        <v>1</v>
      </c>
      <c r="E528" s="4" t="s">
        <v>2</v>
      </c>
      <c r="F528" s="4" t="s">
        <v>1023</v>
      </c>
      <c r="G528" s="4">
        <v>6</v>
      </c>
      <c r="H528" s="4">
        <v>28185</v>
      </c>
      <c r="I528" s="4">
        <f t="shared" si="8"/>
        <v>169110</v>
      </c>
    </row>
    <row r="529" spans="1:9" x14ac:dyDescent="0.3">
      <c r="A529" s="1">
        <v>528</v>
      </c>
      <c r="B529" s="2" t="s">
        <v>540</v>
      </c>
      <c r="C529" s="3">
        <v>45454</v>
      </c>
      <c r="D529" s="4" t="s">
        <v>19</v>
      </c>
      <c r="E529" s="4" t="s">
        <v>2</v>
      </c>
      <c r="F529" s="4" t="s">
        <v>1023</v>
      </c>
      <c r="G529" s="4">
        <v>5</v>
      </c>
      <c r="H529" s="4">
        <v>48442</v>
      </c>
      <c r="I529" s="4">
        <f t="shared" si="8"/>
        <v>242210</v>
      </c>
    </row>
    <row r="530" spans="1:9" x14ac:dyDescent="0.3">
      <c r="A530" s="1">
        <v>529</v>
      </c>
      <c r="B530" s="2" t="s">
        <v>541</v>
      </c>
      <c r="C530" s="3">
        <v>45455</v>
      </c>
      <c r="D530" s="4" t="s">
        <v>19</v>
      </c>
      <c r="E530" s="4" t="s">
        <v>20</v>
      </c>
      <c r="F530" s="4" t="s">
        <v>1029</v>
      </c>
      <c r="G530" s="4">
        <v>8</v>
      </c>
      <c r="H530" s="4">
        <v>56759</v>
      </c>
      <c r="I530" s="4">
        <f t="shared" si="8"/>
        <v>454072</v>
      </c>
    </row>
    <row r="531" spans="1:9" x14ac:dyDescent="0.3">
      <c r="A531" s="1">
        <v>530</v>
      </c>
      <c r="B531" s="2" t="s">
        <v>542</v>
      </c>
      <c r="C531" s="3">
        <v>45456</v>
      </c>
      <c r="D531" s="4" t="s">
        <v>19</v>
      </c>
      <c r="E531" s="4" t="s">
        <v>11</v>
      </c>
      <c r="F531" s="4" t="s">
        <v>1032</v>
      </c>
      <c r="G531" s="4">
        <v>2</v>
      </c>
      <c r="H531" s="4">
        <v>46153</v>
      </c>
      <c r="I531" s="4">
        <f t="shared" si="8"/>
        <v>92306</v>
      </c>
    </row>
    <row r="532" spans="1:9" x14ac:dyDescent="0.3">
      <c r="A532" s="1">
        <v>531</v>
      </c>
      <c r="B532" s="2" t="s">
        <v>543</v>
      </c>
      <c r="C532" s="3">
        <v>45457</v>
      </c>
      <c r="D532" s="4" t="s">
        <v>7</v>
      </c>
      <c r="E532" s="4" t="s">
        <v>24</v>
      </c>
      <c r="F532" s="4" t="s">
        <v>1027</v>
      </c>
      <c r="G532" s="4">
        <v>16</v>
      </c>
      <c r="H532" s="4">
        <v>7581</v>
      </c>
      <c r="I532" s="4">
        <f t="shared" si="8"/>
        <v>121296</v>
      </c>
    </row>
    <row r="533" spans="1:9" x14ac:dyDescent="0.3">
      <c r="A533" s="1">
        <v>532</v>
      </c>
      <c r="B533" s="2" t="s">
        <v>544</v>
      </c>
      <c r="C533" s="3">
        <v>45458</v>
      </c>
      <c r="D533" s="4" t="s">
        <v>5</v>
      </c>
      <c r="E533" s="4" t="s">
        <v>24</v>
      </c>
      <c r="F533" s="4" t="s">
        <v>1029</v>
      </c>
      <c r="G533" s="4">
        <v>12</v>
      </c>
      <c r="H533" s="4">
        <v>56717</v>
      </c>
      <c r="I533" s="4">
        <f t="shared" si="8"/>
        <v>680604</v>
      </c>
    </row>
    <row r="534" spans="1:9" x14ac:dyDescent="0.3">
      <c r="A534" s="1">
        <v>533</v>
      </c>
      <c r="B534" s="2" t="s">
        <v>545</v>
      </c>
      <c r="C534" s="3">
        <v>45459</v>
      </c>
      <c r="D534" s="4" t="s">
        <v>7</v>
      </c>
      <c r="E534" s="4" t="s">
        <v>1041</v>
      </c>
      <c r="F534" s="4" t="s">
        <v>1029</v>
      </c>
      <c r="G534" s="4">
        <v>6</v>
      </c>
      <c r="H534" s="4">
        <v>7763</v>
      </c>
      <c r="I534" s="4">
        <f t="shared" si="8"/>
        <v>46578</v>
      </c>
    </row>
    <row r="535" spans="1:9" x14ac:dyDescent="0.3">
      <c r="A535" s="1">
        <v>534</v>
      </c>
      <c r="B535" s="2" t="s">
        <v>546</v>
      </c>
      <c r="C535" s="3">
        <v>45460</v>
      </c>
      <c r="D535" s="4" t="s">
        <v>7</v>
      </c>
      <c r="E535" s="4" t="s">
        <v>1041</v>
      </c>
      <c r="F535" s="4" t="s">
        <v>1030</v>
      </c>
      <c r="G535" s="4">
        <v>1</v>
      </c>
      <c r="H535" s="4">
        <v>60480</v>
      </c>
      <c r="I535" s="4">
        <f t="shared" si="8"/>
        <v>60480</v>
      </c>
    </row>
    <row r="536" spans="1:9" x14ac:dyDescent="0.3">
      <c r="A536" s="1">
        <v>535</v>
      </c>
      <c r="B536" s="2" t="s">
        <v>547</v>
      </c>
      <c r="C536" s="3">
        <v>45461</v>
      </c>
      <c r="D536" s="4" t="s">
        <v>1</v>
      </c>
      <c r="E536" s="4" t="s">
        <v>24</v>
      </c>
      <c r="F536" s="4" t="s">
        <v>1023</v>
      </c>
      <c r="G536" s="4">
        <v>4</v>
      </c>
      <c r="H536" s="4">
        <v>43759</v>
      </c>
      <c r="I536" s="4">
        <f t="shared" si="8"/>
        <v>175036</v>
      </c>
    </row>
    <row r="537" spans="1:9" x14ac:dyDescent="0.3">
      <c r="A537" s="1">
        <v>536</v>
      </c>
      <c r="B537" s="2" t="s">
        <v>548</v>
      </c>
      <c r="C537" s="3">
        <v>45462</v>
      </c>
      <c r="D537" s="4" t="s">
        <v>19</v>
      </c>
      <c r="E537" s="4" t="s">
        <v>9</v>
      </c>
      <c r="F537" s="4" t="s">
        <v>1032</v>
      </c>
      <c r="G537" s="4">
        <v>17</v>
      </c>
      <c r="H537" s="4">
        <v>30307</v>
      </c>
      <c r="I537" s="4">
        <f t="shared" si="8"/>
        <v>515219</v>
      </c>
    </row>
    <row r="538" spans="1:9" x14ac:dyDescent="0.3">
      <c r="A538" s="1">
        <v>537</v>
      </c>
      <c r="B538" s="2" t="s">
        <v>549</v>
      </c>
      <c r="C538" s="3">
        <v>45463</v>
      </c>
      <c r="D538" s="4" t="s">
        <v>5</v>
      </c>
      <c r="E538" s="4" t="s">
        <v>20</v>
      </c>
      <c r="F538" s="4" t="s">
        <v>1027</v>
      </c>
      <c r="G538" s="4">
        <v>13</v>
      </c>
      <c r="H538" s="4">
        <v>16064</v>
      </c>
      <c r="I538" s="4">
        <f t="shared" si="8"/>
        <v>208832</v>
      </c>
    </row>
    <row r="539" spans="1:9" x14ac:dyDescent="0.3">
      <c r="A539" s="1">
        <v>538</v>
      </c>
      <c r="B539" s="2" t="s">
        <v>550</v>
      </c>
      <c r="C539" s="3">
        <v>45464</v>
      </c>
      <c r="D539" s="4" t="s">
        <v>1</v>
      </c>
      <c r="E539" s="4" t="s">
        <v>24</v>
      </c>
      <c r="F539" s="4" t="s">
        <v>1029</v>
      </c>
      <c r="G539" s="4">
        <v>18</v>
      </c>
      <c r="H539" s="4">
        <v>42548</v>
      </c>
      <c r="I539" s="4">
        <f t="shared" si="8"/>
        <v>765864</v>
      </c>
    </row>
    <row r="540" spans="1:9" x14ac:dyDescent="0.3">
      <c r="A540" s="1">
        <v>539</v>
      </c>
      <c r="B540" s="2" t="s">
        <v>551</v>
      </c>
      <c r="C540" s="3">
        <v>45465</v>
      </c>
      <c r="D540" s="4" t="s">
        <v>7</v>
      </c>
      <c r="E540" s="4" t="s">
        <v>9</v>
      </c>
      <c r="F540" s="4" t="s">
        <v>1027</v>
      </c>
      <c r="G540" s="4">
        <v>5</v>
      </c>
      <c r="H540" s="4">
        <v>41945</v>
      </c>
      <c r="I540" s="4">
        <f t="shared" si="8"/>
        <v>209725</v>
      </c>
    </row>
    <row r="541" spans="1:9" x14ac:dyDescent="0.3">
      <c r="A541" s="1">
        <v>540</v>
      </c>
      <c r="B541" s="2" t="s">
        <v>552</v>
      </c>
      <c r="C541" s="3">
        <v>45466</v>
      </c>
      <c r="D541" s="4" t="s">
        <v>19</v>
      </c>
      <c r="E541" s="4" t="s">
        <v>24</v>
      </c>
      <c r="F541" s="4" t="s">
        <v>1030</v>
      </c>
      <c r="G541" s="4">
        <v>3</v>
      </c>
      <c r="H541" s="4">
        <v>52937</v>
      </c>
      <c r="I541" s="4">
        <f t="shared" si="8"/>
        <v>158811</v>
      </c>
    </row>
    <row r="542" spans="1:9" x14ac:dyDescent="0.3">
      <c r="A542" s="1">
        <v>541</v>
      </c>
      <c r="B542" s="2" t="s">
        <v>553</v>
      </c>
      <c r="C542" s="3">
        <v>45467</v>
      </c>
      <c r="D542" s="4" t="s">
        <v>1</v>
      </c>
      <c r="E542" s="4" t="s">
        <v>11</v>
      </c>
      <c r="F542" s="4" t="s">
        <v>1032</v>
      </c>
      <c r="G542" s="4">
        <v>11</v>
      </c>
      <c r="H542" s="4">
        <v>11476</v>
      </c>
      <c r="I542" s="4">
        <f t="shared" si="8"/>
        <v>126236</v>
      </c>
    </row>
    <row r="543" spans="1:9" x14ac:dyDescent="0.3">
      <c r="A543" s="1">
        <v>542</v>
      </c>
      <c r="B543" s="2" t="s">
        <v>554</v>
      </c>
      <c r="C543" s="3">
        <v>45468</v>
      </c>
      <c r="D543" s="4" t="s">
        <v>19</v>
      </c>
      <c r="E543" s="4" t="s">
        <v>2</v>
      </c>
      <c r="F543" s="4" t="s">
        <v>1029</v>
      </c>
      <c r="G543" s="4">
        <v>13</v>
      </c>
      <c r="H543" s="4">
        <v>56756</v>
      </c>
      <c r="I543" s="4">
        <f t="shared" si="8"/>
        <v>737828</v>
      </c>
    </row>
    <row r="544" spans="1:9" x14ac:dyDescent="0.3">
      <c r="A544" s="1">
        <v>543</v>
      </c>
      <c r="B544" s="2" t="s">
        <v>555</v>
      </c>
      <c r="C544" s="3">
        <v>45469</v>
      </c>
      <c r="D544" s="4" t="s">
        <v>1</v>
      </c>
      <c r="E544" s="4" t="s">
        <v>24</v>
      </c>
      <c r="F544" s="4" t="s">
        <v>1027</v>
      </c>
      <c r="G544" s="4">
        <v>4</v>
      </c>
      <c r="H544" s="4">
        <v>7382</v>
      </c>
      <c r="I544" s="4">
        <f t="shared" si="8"/>
        <v>29528</v>
      </c>
    </row>
    <row r="545" spans="1:9" x14ac:dyDescent="0.3">
      <c r="A545" s="1">
        <v>544</v>
      </c>
      <c r="B545" s="2" t="s">
        <v>556</v>
      </c>
      <c r="C545" s="3">
        <v>45470</v>
      </c>
      <c r="D545" s="4" t="s">
        <v>19</v>
      </c>
      <c r="E545" s="4" t="s">
        <v>2</v>
      </c>
      <c r="F545" s="4" t="s">
        <v>1023</v>
      </c>
      <c r="G545" s="4">
        <v>14</v>
      </c>
      <c r="H545" s="4">
        <v>54683</v>
      </c>
      <c r="I545" s="4">
        <f t="shared" si="8"/>
        <v>765562</v>
      </c>
    </row>
    <row r="546" spans="1:9" x14ac:dyDescent="0.3">
      <c r="A546" s="1">
        <v>545</v>
      </c>
      <c r="B546" s="2" t="s">
        <v>557</v>
      </c>
      <c r="C546" s="3">
        <v>45471</v>
      </c>
      <c r="D546" s="4" t="s">
        <v>7</v>
      </c>
      <c r="E546" s="4" t="s">
        <v>9</v>
      </c>
      <c r="F546" s="4" t="s">
        <v>1030</v>
      </c>
      <c r="G546" s="4">
        <v>11</v>
      </c>
      <c r="H546" s="4">
        <v>50276</v>
      </c>
      <c r="I546" s="4">
        <f t="shared" si="8"/>
        <v>553036</v>
      </c>
    </row>
    <row r="547" spans="1:9" x14ac:dyDescent="0.3">
      <c r="A547" s="1">
        <v>546</v>
      </c>
      <c r="B547" s="2" t="s">
        <v>558</v>
      </c>
      <c r="C547" s="3">
        <v>45472</v>
      </c>
      <c r="D547" s="4" t="s">
        <v>5</v>
      </c>
      <c r="E547" s="4" t="s">
        <v>2</v>
      </c>
      <c r="F547" s="4" t="s">
        <v>1032</v>
      </c>
      <c r="G547" s="4">
        <v>10</v>
      </c>
      <c r="H547" s="4">
        <v>38402</v>
      </c>
      <c r="I547" s="4">
        <f t="shared" si="8"/>
        <v>384020</v>
      </c>
    </row>
    <row r="548" spans="1:9" x14ac:dyDescent="0.3">
      <c r="A548" s="1">
        <v>547</v>
      </c>
      <c r="B548" s="2" t="s">
        <v>559</v>
      </c>
      <c r="C548" s="3">
        <v>45473</v>
      </c>
      <c r="D548" s="4" t="s">
        <v>7</v>
      </c>
      <c r="E548" s="4" t="s">
        <v>24</v>
      </c>
      <c r="F548" s="4" t="s">
        <v>1030</v>
      </c>
      <c r="G548" s="4">
        <v>19</v>
      </c>
      <c r="H548" s="4">
        <v>31946</v>
      </c>
      <c r="I548" s="4">
        <f t="shared" si="8"/>
        <v>606974</v>
      </c>
    </row>
    <row r="549" spans="1:9" x14ac:dyDescent="0.3">
      <c r="A549" s="1">
        <v>548</v>
      </c>
      <c r="B549" s="2" t="s">
        <v>560</v>
      </c>
      <c r="C549" s="3">
        <v>45474</v>
      </c>
      <c r="D549" s="4" t="s">
        <v>5</v>
      </c>
      <c r="E549" s="4" t="s">
        <v>11</v>
      </c>
      <c r="F549" s="4" t="s">
        <v>1023</v>
      </c>
      <c r="G549" s="4">
        <v>18</v>
      </c>
      <c r="H549" s="4">
        <v>27335</v>
      </c>
      <c r="I549" s="4">
        <f t="shared" si="8"/>
        <v>492030</v>
      </c>
    </row>
    <row r="550" spans="1:9" x14ac:dyDescent="0.3">
      <c r="A550" s="1">
        <v>549</v>
      </c>
      <c r="B550" s="2" t="s">
        <v>561</v>
      </c>
      <c r="C550" s="3">
        <v>45475</v>
      </c>
      <c r="D550" s="4" t="s">
        <v>19</v>
      </c>
      <c r="E550" s="4" t="s">
        <v>9</v>
      </c>
      <c r="F550" s="4" t="s">
        <v>1032</v>
      </c>
      <c r="G550" s="4">
        <v>6</v>
      </c>
      <c r="H550" s="4">
        <v>50095</v>
      </c>
      <c r="I550" s="4">
        <f t="shared" si="8"/>
        <v>300570</v>
      </c>
    </row>
    <row r="551" spans="1:9" x14ac:dyDescent="0.3">
      <c r="A551" s="1">
        <v>550</v>
      </c>
      <c r="B551" s="2" t="s">
        <v>562</v>
      </c>
      <c r="C551" s="3">
        <v>45476</v>
      </c>
      <c r="D551" s="4" t="s">
        <v>1</v>
      </c>
      <c r="E551" s="4" t="s">
        <v>24</v>
      </c>
      <c r="F551" s="4" t="s">
        <v>1030</v>
      </c>
      <c r="G551" s="4">
        <v>15</v>
      </c>
      <c r="H551" s="4">
        <v>32197</v>
      </c>
      <c r="I551" s="4">
        <f t="shared" si="8"/>
        <v>482955</v>
      </c>
    </row>
    <row r="552" spans="1:9" x14ac:dyDescent="0.3">
      <c r="A552" s="1">
        <v>551</v>
      </c>
      <c r="B552" s="2" t="s">
        <v>563</v>
      </c>
      <c r="C552" s="3">
        <v>45477</v>
      </c>
      <c r="D552" s="4" t="s">
        <v>7</v>
      </c>
      <c r="E552" s="4" t="s">
        <v>9</v>
      </c>
      <c r="F552" s="4" t="s">
        <v>1024</v>
      </c>
      <c r="G552" s="4">
        <v>10</v>
      </c>
      <c r="H552" s="4">
        <v>27010</v>
      </c>
      <c r="I552" s="4">
        <f t="shared" si="8"/>
        <v>270100</v>
      </c>
    </row>
    <row r="553" spans="1:9" x14ac:dyDescent="0.3">
      <c r="A553" s="1">
        <v>552</v>
      </c>
      <c r="B553" s="2" t="s">
        <v>564</v>
      </c>
      <c r="C553" s="3">
        <v>45478</v>
      </c>
      <c r="D553" s="4" t="s">
        <v>5</v>
      </c>
      <c r="E553" s="4" t="s">
        <v>20</v>
      </c>
      <c r="F553" s="4" t="s">
        <v>1023</v>
      </c>
      <c r="G553" s="4">
        <v>5</v>
      </c>
      <c r="H553" s="4">
        <v>29123</v>
      </c>
      <c r="I553" s="4">
        <f t="shared" si="8"/>
        <v>145615</v>
      </c>
    </row>
    <row r="554" spans="1:9" x14ac:dyDescent="0.3">
      <c r="A554" s="1">
        <v>553</v>
      </c>
      <c r="B554" s="2" t="s">
        <v>565</v>
      </c>
      <c r="C554" s="3">
        <v>45479</v>
      </c>
      <c r="D554" s="4" t="s">
        <v>7</v>
      </c>
      <c r="E554" s="4" t="s">
        <v>2</v>
      </c>
      <c r="F554" s="4" t="s">
        <v>1023</v>
      </c>
      <c r="G554" s="4">
        <v>5</v>
      </c>
      <c r="H554" s="4">
        <v>7890</v>
      </c>
      <c r="I554" s="4">
        <f t="shared" si="8"/>
        <v>39450</v>
      </c>
    </row>
    <row r="555" spans="1:9" x14ac:dyDescent="0.3">
      <c r="A555" s="1">
        <v>554</v>
      </c>
      <c r="B555" s="2" t="s">
        <v>566</v>
      </c>
      <c r="C555" s="3">
        <v>45480</v>
      </c>
      <c r="D555" s="4" t="s">
        <v>5</v>
      </c>
      <c r="E555" s="4" t="s">
        <v>20</v>
      </c>
      <c r="F555" s="4" t="s">
        <v>1023</v>
      </c>
      <c r="G555" s="4">
        <v>10</v>
      </c>
      <c r="H555" s="4">
        <v>13026</v>
      </c>
      <c r="I555" s="4">
        <f t="shared" si="8"/>
        <v>130260</v>
      </c>
    </row>
    <row r="556" spans="1:9" x14ac:dyDescent="0.3">
      <c r="A556" s="1">
        <v>555</v>
      </c>
      <c r="B556" s="2" t="s">
        <v>567</v>
      </c>
      <c r="C556" s="3">
        <v>45481</v>
      </c>
      <c r="D556" s="4" t="s">
        <v>7</v>
      </c>
      <c r="E556" s="4" t="s">
        <v>24</v>
      </c>
      <c r="F556" s="4" t="s">
        <v>1025</v>
      </c>
      <c r="G556" s="4">
        <v>5</v>
      </c>
      <c r="H556" s="4">
        <v>69925</v>
      </c>
      <c r="I556" s="4">
        <f t="shared" si="8"/>
        <v>349625</v>
      </c>
    </row>
    <row r="557" spans="1:9" x14ac:dyDescent="0.3">
      <c r="A557" s="1">
        <v>556</v>
      </c>
      <c r="B557" s="2" t="s">
        <v>568</v>
      </c>
      <c r="C557" s="3">
        <v>45482</v>
      </c>
      <c r="D557" s="4" t="s">
        <v>5</v>
      </c>
      <c r="E557" s="4" t="s">
        <v>11</v>
      </c>
      <c r="F557" s="4" t="s">
        <v>1025</v>
      </c>
      <c r="G557" s="4">
        <v>3</v>
      </c>
      <c r="H557" s="4">
        <v>73842</v>
      </c>
      <c r="I557" s="4">
        <f t="shared" si="8"/>
        <v>221526</v>
      </c>
    </row>
    <row r="558" spans="1:9" x14ac:dyDescent="0.3">
      <c r="A558" s="1">
        <v>557</v>
      </c>
      <c r="B558" s="2" t="s">
        <v>569</v>
      </c>
      <c r="C558" s="3">
        <v>45483</v>
      </c>
      <c r="D558" s="4" t="s">
        <v>5</v>
      </c>
      <c r="E558" s="4" t="s">
        <v>9</v>
      </c>
      <c r="F558" s="4" t="s">
        <v>1027</v>
      </c>
      <c r="G558" s="4">
        <v>6</v>
      </c>
      <c r="H558" s="4">
        <v>38665</v>
      </c>
      <c r="I558" s="4">
        <f t="shared" si="8"/>
        <v>231990</v>
      </c>
    </row>
    <row r="559" spans="1:9" x14ac:dyDescent="0.3">
      <c r="A559" s="1">
        <v>558</v>
      </c>
      <c r="B559" s="2" t="s">
        <v>570</v>
      </c>
      <c r="C559" s="3">
        <v>45484</v>
      </c>
      <c r="D559" s="4" t="s">
        <v>19</v>
      </c>
      <c r="E559" s="4" t="s">
        <v>2</v>
      </c>
      <c r="F559" s="4" t="s">
        <v>1029</v>
      </c>
      <c r="G559" s="4">
        <v>4</v>
      </c>
      <c r="H559" s="4">
        <v>14277</v>
      </c>
      <c r="I559" s="4">
        <f t="shared" si="8"/>
        <v>57108</v>
      </c>
    </row>
    <row r="560" spans="1:9" x14ac:dyDescent="0.3">
      <c r="A560" s="1">
        <v>559</v>
      </c>
      <c r="B560" s="2" t="s">
        <v>571</v>
      </c>
      <c r="C560" s="3">
        <v>45485</v>
      </c>
      <c r="D560" s="4" t="s">
        <v>5</v>
      </c>
      <c r="E560" s="4" t="s">
        <v>9</v>
      </c>
      <c r="F560" s="4" t="s">
        <v>1030</v>
      </c>
      <c r="G560" s="4">
        <v>18</v>
      </c>
      <c r="H560" s="4">
        <v>47239</v>
      </c>
      <c r="I560" s="4">
        <f t="shared" si="8"/>
        <v>850302</v>
      </c>
    </row>
    <row r="561" spans="1:9" x14ac:dyDescent="0.3">
      <c r="A561" s="1">
        <v>560</v>
      </c>
      <c r="B561" s="2" t="s">
        <v>572</v>
      </c>
      <c r="C561" s="3">
        <v>45486</v>
      </c>
      <c r="D561" s="4" t="s">
        <v>19</v>
      </c>
      <c r="E561" s="4" t="s">
        <v>24</v>
      </c>
      <c r="F561" s="4" t="s">
        <v>1027</v>
      </c>
      <c r="G561" s="4">
        <v>9</v>
      </c>
      <c r="H561" s="4">
        <v>52664</v>
      </c>
      <c r="I561" s="4">
        <f t="shared" si="8"/>
        <v>473976</v>
      </c>
    </row>
    <row r="562" spans="1:9" x14ac:dyDescent="0.3">
      <c r="A562" s="1">
        <v>561</v>
      </c>
      <c r="B562" s="2" t="s">
        <v>573</v>
      </c>
      <c r="C562" s="3">
        <v>45487</v>
      </c>
      <c r="D562" s="4" t="s">
        <v>5</v>
      </c>
      <c r="E562" s="4" t="s">
        <v>9</v>
      </c>
      <c r="F562" s="4" t="s">
        <v>1030</v>
      </c>
      <c r="G562" s="4">
        <v>17</v>
      </c>
      <c r="H562" s="4">
        <v>53008</v>
      </c>
      <c r="I562" s="4">
        <f t="shared" si="8"/>
        <v>901136</v>
      </c>
    </row>
    <row r="563" spans="1:9" x14ac:dyDescent="0.3">
      <c r="A563" s="1">
        <v>562</v>
      </c>
      <c r="B563" s="2" t="s">
        <v>574</v>
      </c>
      <c r="C563" s="3">
        <v>45488</v>
      </c>
      <c r="D563" s="4" t="s">
        <v>1</v>
      </c>
      <c r="E563" s="4" t="s">
        <v>2</v>
      </c>
      <c r="F563" s="4" t="s">
        <v>1029</v>
      </c>
      <c r="G563" s="4">
        <v>13</v>
      </c>
      <c r="H563" s="4">
        <v>19683</v>
      </c>
      <c r="I563" s="4">
        <f t="shared" si="8"/>
        <v>255879</v>
      </c>
    </row>
    <row r="564" spans="1:9" x14ac:dyDescent="0.3">
      <c r="A564" s="1">
        <v>563</v>
      </c>
      <c r="B564" s="2" t="s">
        <v>575</v>
      </c>
      <c r="C564" s="3">
        <v>45489</v>
      </c>
      <c r="D564" s="4" t="s">
        <v>1</v>
      </c>
      <c r="E564" s="4" t="s">
        <v>24</v>
      </c>
      <c r="F564" s="4" t="s">
        <v>1025</v>
      </c>
      <c r="G564" s="4">
        <v>15</v>
      </c>
      <c r="H564" s="4">
        <v>5670</v>
      </c>
      <c r="I564" s="4">
        <f t="shared" si="8"/>
        <v>85050</v>
      </c>
    </row>
    <row r="565" spans="1:9" x14ac:dyDescent="0.3">
      <c r="A565" s="1">
        <v>564</v>
      </c>
      <c r="B565" s="2" t="s">
        <v>576</v>
      </c>
      <c r="C565" s="3">
        <v>45490</v>
      </c>
      <c r="D565" s="4" t="s">
        <v>1</v>
      </c>
      <c r="E565" s="4" t="s">
        <v>9</v>
      </c>
      <c r="F565" s="4" t="s">
        <v>1029</v>
      </c>
      <c r="G565" s="4">
        <v>17</v>
      </c>
      <c r="H565" s="4">
        <v>22889</v>
      </c>
      <c r="I565" s="4">
        <f t="shared" si="8"/>
        <v>389113</v>
      </c>
    </row>
    <row r="566" spans="1:9" x14ac:dyDescent="0.3">
      <c r="A566" s="1">
        <v>565</v>
      </c>
      <c r="B566" s="2" t="s">
        <v>577</v>
      </c>
      <c r="C566" s="3">
        <v>45491</v>
      </c>
      <c r="D566" s="4" t="s">
        <v>5</v>
      </c>
      <c r="E566" s="4" t="s">
        <v>11</v>
      </c>
      <c r="F566" s="4" t="s">
        <v>1025</v>
      </c>
      <c r="G566" s="4">
        <v>13</v>
      </c>
      <c r="H566" s="4">
        <v>60612</v>
      </c>
      <c r="I566" s="4">
        <f t="shared" si="8"/>
        <v>787956</v>
      </c>
    </row>
    <row r="567" spans="1:9" x14ac:dyDescent="0.3">
      <c r="A567" s="1">
        <v>566</v>
      </c>
      <c r="B567" s="2" t="s">
        <v>578</v>
      </c>
      <c r="C567" s="3">
        <v>45492</v>
      </c>
      <c r="D567" s="4" t="s">
        <v>19</v>
      </c>
      <c r="E567" s="4" t="s">
        <v>24</v>
      </c>
      <c r="F567" s="4" t="s">
        <v>1029</v>
      </c>
      <c r="G567" s="4">
        <v>16</v>
      </c>
      <c r="H567" s="4">
        <v>49535</v>
      </c>
      <c r="I567" s="4">
        <f t="shared" si="8"/>
        <v>792560</v>
      </c>
    </row>
    <row r="568" spans="1:9" x14ac:dyDescent="0.3">
      <c r="A568" s="1">
        <v>567</v>
      </c>
      <c r="B568" s="2" t="s">
        <v>579</v>
      </c>
      <c r="C568" s="3">
        <v>45493</v>
      </c>
      <c r="D568" s="4" t="s">
        <v>19</v>
      </c>
      <c r="E568" s="4" t="s">
        <v>24</v>
      </c>
      <c r="F568" s="4" t="s">
        <v>1027</v>
      </c>
      <c r="G568" s="4">
        <v>4</v>
      </c>
      <c r="H568" s="4">
        <v>59319</v>
      </c>
      <c r="I568" s="4">
        <f t="shared" si="8"/>
        <v>237276</v>
      </c>
    </row>
    <row r="569" spans="1:9" x14ac:dyDescent="0.3">
      <c r="A569" s="1">
        <v>568</v>
      </c>
      <c r="B569" s="2" t="s">
        <v>580</v>
      </c>
      <c r="C569" s="3">
        <v>45494</v>
      </c>
      <c r="D569" s="4" t="s">
        <v>5</v>
      </c>
      <c r="E569" s="4" t="s">
        <v>11</v>
      </c>
      <c r="F569" s="4" t="s">
        <v>1032</v>
      </c>
      <c r="G569" s="4">
        <v>5</v>
      </c>
      <c r="H569" s="4">
        <v>26639</v>
      </c>
      <c r="I569" s="4">
        <f t="shared" si="8"/>
        <v>133195</v>
      </c>
    </row>
    <row r="570" spans="1:9" x14ac:dyDescent="0.3">
      <c r="A570" s="1">
        <v>569</v>
      </c>
      <c r="B570" s="2" t="s">
        <v>581</v>
      </c>
      <c r="C570" s="3">
        <v>45495</v>
      </c>
      <c r="D570" s="4" t="s">
        <v>1</v>
      </c>
      <c r="E570" s="4" t="s">
        <v>20</v>
      </c>
      <c r="F570" s="4" t="s">
        <v>1027</v>
      </c>
      <c r="G570" s="4">
        <v>5</v>
      </c>
      <c r="H570" s="4">
        <v>69712</v>
      </c>
      <c r="I570" s="4">
        <f t="shared" si="8"/>
        <v>348560</v>
      </c>
    </row>
    <row r="571" spans="1:9" x14ac:dyDescent="0.3">
      <c r="A571" s="1">
        <v>570</v>
      </c>
      <c r="B571" s="2" t="s">
        <v>582</v>
      </c>
      <c r="C571" s="3">
        <v>45496</v>
      </c>
      <c r="D571" s="4" t="s">
        <v>1</v>
      </c>
      <c r="E571" s="4" t="s">
        <v>2</v>
      </c>
      <c r="F571" s="4" t="s">
        <v>1030</v>
      </c>
      <c r="G571" s="4">
        <v>9</v>
      </c>
      <c r="H571" s="4">
        <v>21633</v>
      </c>
      <c r="I571" s="4">
        <f t="shared" si="8"/>
        <v>194697</v>
      </c>
    </row>
    <row r="572" spans="1:9" x14ac:dyDescent="0.3">
      <c r="A572" s="1">
        <v>571</v>
      </c>
      <c r="B572" s="2" t="s">
        <v>583</v>
      </c>
      <c r="C572" s="3">
        <v>45497</v>
      </c>
      <c r="D572" s="4" t="s">
        <v>19</v>
      </c>
      <c r="E572" s="4" t="s">
        <v>20</v>
      </c>
      <c r="F572" s="4" t="s">
        <v>1027</v>
      </c>
      <c r="G572" s="4">
        <v>17</v>
      </c>
      <c r="H572" s="4">
        <v>39660</v>
      </c>
      <c r="I572" s="4">
        <f t="shared" si="8"/>
        <v>674220</v>
      </c>
    </row>
    <row r="573" spans="1:9" x14ac:dyDescent="0.3">
      <c r="A573" s="1">
        <v>572</v>
      </c>
      <c r="B573" s="2" t="s">
        <v>584</v>
      </c>
      <c r="C573" s="3">
        <v>45498</v>
      </c>
      <c r="D573" s="4" t="s">
        <v>1</v>
      </c>
      <c r="E573" s="4" t="s">
        <v>9</v>
      </c>
      <c r="F573" s="4" t="s">
        <v>1023</v>
      </c>
      <c r="G573" s="4">
        <v>13</v>
      </c>
      <c r="H573" s="4">
        <v>73975</v>
      </c>
      <c r="I573" s="4">
        <f t="shared" si="8"/>
        <v>961675</v>
      </c>
    </row>
    <row r="574" spans="1:9" x14ac:dyDescent="0.3">
      <c r="A574" s="1">
        <v>573</v>
      </c>
      <c r="B574" s="2" t="s">
        <v>585</v>
      </c>
      <c r="C574" s="3">
        <v>45499</v>
      </c>
      <c r="D574" s="4" t="s">
        <v>7</v>
      </c>
      <c r="E574" s="4" t="s">
        <v>11</v>
      </c>
      <c r="F574" s="4" t="s">
        <v>1030</v>
      </c>
      <c r="G574" s="4">
        <v>2</v>
      </c>
      <c r="H574" s="4">
        <v>37172</v>
      </c>
      <c r="I574" s="4">
        <f t="shared" si="8"/>
        <v>74344</v>
      </c>
    </row>
    <row r="575" spans="1:9" x14ac:dyDescent="0.3">
      <c r="A575" s="1">
        <v>574</v>
      </c>
      <c r="B575" s="2" t="s">
        <v>586</v>
      </c>
      <c r="C575" s="3">
        <v>45500</v>
      </c>
      <c r="D575" s="4" t="s">
        <v>19</v>
      </c>
      <c r="E575" s="4" t="s">
        <v>20</v>
      </c>
      <c r="F575" s="4" t="s">
        <v>1029</v>
      </c>
      <c r="G575" s="4">
        <v>13</v>
      </c>
      <c r="H575" s="4">
        <v>64197</v>
      </c>
      <c r="I575" s="4">
        <f t="shared" si="8"/>
        <v>834561</v>
      </c>
    </row>
    <row r="576" spans="1:9" x14ac:dyDescent="0.3">
      <c r="A576" s="1">
        <v>575</v>
      </c>
      <c r="B576" s="2" t="s">
        <v>587</v>
      </c>
      <c r="C576" s="3">
        <v>45501</v>
      </c>
      <c r="D576" s="4" t="s">
        <v>1</v>
      </c>
      <c r="E576" s="4" t="s">
        <v>24</v>
      </c>
      <c r="F576" s="4" t="s">
        <v>1030</v>
      </c>
      <c r="G576" s="4">
        <v>19</v>
      </c>
      <c r="H576" s="4">
        <v>63847</v>
      </c>
      <c r="I576" s="4">
        <f t="shared" si="8"/>
        <v>1213093</v>
      </c>
    </row>
    <row r="577" spans="1:9" x14ac:dyDescent="0.3">
      <c r="A577" s="1">
        <v>576</v>
      </c>
      <c r="B577" s="2" t="s">
        <v>588</v>
      </c>
      <c r="C577" s="3">
        <v>45502</v>
      </c>
      <c r="D577" s="4" t="s">
        <v>19</v>
      </c>
      <c r="E577" s="4" t="s">
        <v>9</v>
      </c>
      <c r="F577" s="4" t="s">
        <v>1032</v>
      </c>
      <c r="G577" s="4">
        <v>3</v>
      </c>
      <c r="H577" s="4">
        <v>16577</v>
      </c>
      <c r="I577" s="4">
        <f t="shared" si="8"/>
        <v>49731</v>
      </c>
    </row>
    <row r="578" spans="1:9" x14ac:dyDescent="0.3">
      <c r="A578" s="1">
        <v>577</v>
      </c>
      <c r="B578" s="2" t="s">
        <v>589</v>
      </c>
      <c r="C578" s="3">
        <v>45503</v>
      </c>
      <c r="D578" s="4" t="s">
        <v>7</v>
      </c>
      <c r="E578" s="4" t="s">
        <v>9</v>
      </c>
      <c r="F578" s="4" t="s">
        <v>1025</v>
      </c>
      <c r="G578" s="4">
        <v>10</v>
      </c>
      <c r="H578" s="4">
        <v>25176</v>
      </c>
      <c r="I578" s="4">
        <f t="shared" si="8"/>
        <v>251760</v>
      </c>
    </row>
    <row r="579" spans="1:9" x14ac:dyDescent="0.3">
      <c r="A579" s="1">
        <v>578</v>
      </c>
      <c r="B579" s="2" t="s">
        <v>590</v>
      </c>
      <c r="C579" s="3">
        <v>45504</v>
      </c>
      <c r="D579" s="4" t="s">
        <v>19</v>
      </c>
      <c r="E579" s="4" t="s">
        <v>20</v>
      </c>
      <c r="F579" s="4" t="s">
        <v>1029</v>
      </c>
      <c r="G579" s="4">
        <v>2</v>
      </c>
      <c r="H579" s="4">
        <v>49386</v>
      </c>
      <c r="I579" s="4">
        <f t="shared" ref="I579:I642" si="9">G579*H579</f>
        <v>98772</v>
      </c>
    </row>
    <row r="580" spans="1:9" x14ac:dyDescent="0.3">
      <c r="A580" s="1">
        <v>579</v>
      </c>
      <c r="B580" s="2" t="s">
        <v>591</v>
      </c>
      <c r="C580" s="3">
        <v>45505</v>
      </c>
      <c r="D580" s="4" t="s">
        <v>19</v>
      </c>
      <c r="E580" s="4" t="s">
        <v>20</v>
      </c>
      <c r="F580" s="4" t="s">
        <v>1030</v>
      </c>
      <c r="G580" s="4">
        <v>13</v>
      </c>
      <c r="H580" s="4">
        <v>68972</v>
      </c>
      <c r="I580" s="4">
        <f t="shared" si="9"/>
        <v>896636</v>
      </c>
    </row>
    <row r="581" spans="1:9" x14ac:dyDescent="0.3">
      <c r="A581" s="1">
        <v>580</v>
      </c>
      <c r="B581" s="2" t="s">
        <v>592</v>
      </c>
      <c r="C581" s="3">
        <v>45506</v>
      </c>
      <c r="D581" s="4" t="s">
        <v>19</v>
      </c>
      <c r="E581" s="4" t="s">
        <v>1040</v>
      </c>
      <c r="F581" s="4" t="s">
        <v>1029</v>
      </c>
      <c r="G581" s="4">
        <v>19</v>
      </c>
      <c r="H581" s="4">
        <v>46003</v>
      </c>
      <c r="I581" s="4">
        <f t="shared" si="9"/>
        <v>874057</v>
      </c>
    </row>
    <row r="582" spans="1:9" x14ac:dyDescent="0.3">
      <c r="A582" s="1">
        <v>581</v>
      </c>
      <c r="B582" s="2" t="s">
        <v>593</v>
      </c>
      <c r="C582" s="3">
        <v>45507</v>
      </c>
      <c r="D582" s="4" t="s">
        <v>19</v>
      </c>
      <c r="E582" s="4" t="s">
        <v>2</v>
      </c>
      <c r="F582" s="4" t="s">
        <v>1029</v>
      </c>
      <c r="G582" s="4">
        <v>17</v>
      </c>
      <c r="H582" s="4">
        <v>24996</v>
      </c>
      <c r="I582" s="4">
        <f t="shared" si="9"/>
        <v>424932</v>
      </c>
    </row>
    <row r="583" spans="1:9" x14ac:dyDescent="0.3">
      <c r="A583" s="1">
        <v>582</v>
      </c>
      <c r="B583" s="2" t="s">
        <v>594</v>
      </c>
      <c r="C583" s="3">
        <v>45508</v>
      </c>
      <c r="D583" s="4" t="s">
        <v>7</v>
      </c>
      <c r="E583" s="4" t="s">
        <v>20</v>
      </c>
      <c r="F583" s="4" t="s">
        <v>1029</v>
      </c>
      <c r="G583" s="4">
        <v>14</v>
      </c>
      <c r="H583" s="4">
        <v>40931</v>
      </c>
      <c r="I583" s="4">
        <f t="shared" si="9"/>
        <v>573034</v>
      </c>
    </row>
    <row r="584" spans="1:9" x14ac:dyDescent="0.3">
      <c r="A584" s="1">
        <v>583</v>
      </c>
      <c r="B584" s="2" t="s">
        <v>595</v>
      </c>
      <c r="C584" s="3">
        <v>45509</v>
      </c>
      <c r="D584" s="4" t="s">
        <v>5</v>
      </c>
      <c r="E584" s="4" t="s">
        <v>20</v>
      </c>
      <c r="F584" s="4" t="s">
        <v>1025</v>
      </c>
      <c r="G584" s="4">
        <v>12</v>
      </c>
      <c r="H584" s="4">
        <v>40710</v>
      </c>
      <c r="I584" s="4">
        <f t="shared" si="9"/>
        <v>488520</v>
      </c>
    </row>
    <row r="585" spans="1:9" x14ac:dyDescent="0.3">
      <c r="A585" s="1">
        <v>584</v>
      </c>
      <c r="B585" s="2" t="s">
        <v>596</v>
      </c>
      <c r="C585" s="3">
        <v>45510</v>
      </c>
      <c r="D585" s="4" t="s">
        <v>19</v>
      </c>
      <c r="E585" s="4" t="s">
        <v>24</v>
      </c>
      <c r="F585" s="4" t="s">
        <v>1027</v>
      </c>
      <c r="G585" s="4">
        <v>12</v>
      </c>
      <c r="H585" s="4">
        <v>39693</v>
      </c>
      <c r="I585" s="4">
        <f t="shared" si="9"/>
        <v>476316</v>
      </c>
    </row>
    <row r="586" spans="1:9" x14ac:dyDescent="0.3">
      <c r="A586" s="1">
        <v>585</v>
      </c>
      <c r="B586" s="2" t="s">
        <v>597</v>
      </c>
      <c r="C586" s="3">
        <v>45511</v>
      </c>
      <c r="D586" s="4" t="s">
        <v>19</v>
      </c>
      <c r="E586" s="4" t="s">
        <v>9</v>
      </c>
      <c r="F586" s="4" t="s">
        <v>1029</v>
      </c>
      <c r="G586" s="4">
        <v>11</v>
      </c>
      <c r="H586" s="4">
        <v>40740</v>
      </c>
      <c r="I586" s="4">
        <f t="shared" si="9"/>
        <v>448140</v>
      </c>
    </row>
    <row r="587" spans="1:9" x14ac:dyDescent="0.3">
      <c r="A587" s="1">
        <v>586</v>
      </c>
      <c r="B587" s="2" t="s">
        <v>598</v>
      </c>
      <c r="C587" s="3">
        <v>45512</v>
      </c>
      <c r="D587" s="4" t="s">
        <v>1</v>
      </c>
      <c r="E587" s="4" t="s">
        <v>2</v>
      </c>
      <c r="F587" s="4" t="s">
        <v>1023</v>
      </c>
      <c r="G587" s="4">
        <v>7</v>
      </c>
      <c r="H587" s="4">
        <v>22374</v>
      </c>
      <c r="I587" s="4">
        <f t="shared" si="9"/>
        <v>156618</v>
      </c>
    </row>
    <row r="588" spans="1:9" x14ac:dyDescent="0.3">
      <c r="A588" s="1">
        <v>587</v>
      </c>
      <c r="B588" s="2" t="s">
        <v>599</v>
      </c>
      <c r="C588" s="3">
        <v>45513</v>
      </c>
      <c r="D588" s="4" t="s">
        <v>19</v>
      </c>
      <c r="E588" s="4" t="s">
        <v>24</v>
      </c>
      <c r="F588" s="4" t="s">
        <v>1032</v>
      </c>
      <c r="G588" s="4">
        <v>4</v>
      </c>
      <c r="H588" s="4">
        <v>50913</v>
      </c>
      <c r="I588" s="4">
        <f t="shared" si="9"/>
        <v>203652</v>
      </c>
    </row>
    <row r="589" spans="1:9" x14ac:dyDescent="0.3">
      <c r="A589" s="1">
        <v>588</v>
      </c>
      <c r="B589" s="2" t="s">
        <v>600</v>
      </c>
      <c r="C589" s="3">
        <v>45514</v>
      </c>
      <c r="D589" s="4" t="s">
        <v>1</v>
      </c>
      <c r="E589" s="4" t="s">
        <v>1040</v>
      </c>
      <c r="F589" s="4" t="s">
        <v>1025</v>
      </c>
      <c r="G589" s="4">
        <v>19</v>
      </c>
      <c r="H589" s="4">
        <v>71025</v>
      </c>
      <c r="I589" s="4">
        <f t="shared" si="9"/>
        <v>1349475</v>
      </c>
    </row>
    <row r="590" spans="1:9" x14ac:dyDescent="0.3">
      <c r="A590" s="1">
        <v>589</v>
      </c>
      <c r="B590" s="2" t="s">
        <v>601</v>
      </c>
      <c r="C590" s="3">
        <v>45515</v>
      </c>
      <c r="D590" s="4" t="s">
        <v>5</v>
      </c>
      <c r="E590" s="4" t="s">
        <v>1040</v>
      </c>
      <c r="F590" s="4" t="s">
        <v>1030</v>
      </c>
      <c r="G590" s="4">
        <v>1</v>
      </c>
      <c r="H590" s="4">
        <v>49516</v>
      </c>
      <c r="I590" s="4">
        <f t="shared" si="9"/>
        <v>49516</v>
      </c>
    </row>
    <row r="591" spans="1:9" x14ac:dyDescent="0.3">
      <c r="A591" s="1">
        <v>590</v>
      </c>
      <c r="B591" s="2" t="s">
        <v>602</v>
      </c>
      <c r="C591" s="3">
        <v>45516</v>
      </c>
      <c r="D591" s="4" t="s">
        <v>7</v>
      </c>
      <c r="E591" s="4" t="s">
        <v>20</v>
      </c>
      <c r="F591" s="4" t="s">
        <v>1025</v>
      </c>
      <c r="G591" s="4">
        <v>3</v>
      </c>
      <c r="H591" s="4">
        <v>31069</v>
      </c>
      <c r="I591" s="4">
        <f t="shared" si="9"/>
        <v>93207</v>
      </c>
    </row>
    <row r="592" spans="1:9" x14ac:dyDescent="0.3">
      <c r="A592" s="1">
        <v>591</v>
      </c>
      <c r="B592" s="2" t="s">
        <v>603</v>
      </c>
      <c r="C592" s="3">
        <v>45517</v>
      </c>
      <c r="D592" s="4" t="s">
        <v>7</v>
      </c>
      <c r="E592" s="4" t="s">
        <v>20</v>
      </c>
      <c r="F592" s="4" t="s">
        <v>1030</v>
      </c>
      <c r="G592" s="4">
        <v>13</v>
      </c>
      <c r="H592" s="4">
        <v>61233</v>
      </c>
      <c r="I592" s="4">
        <f t="shared" si="9"/>
        <v>796029</v>
      </c>
    </row>
    <row r="593" spans="1:9" x14ac:dyDescent="0.3">
      <c r="A593" s="1">
        <v>592</v>
      </c>
      <c r="B593" s="2" t="s">
        <v>604</v>
      </c>
      <c r="C593" s="3">
        <v>45518</v>
      </c>
      <c r="D593" s="4" t="s">
        <v>5</v>
      </c>
      <c r="E593" s="4" t="s">
        <v>1040</v>
      </c>
      <c r="F593" s="4" t="s">
        <v>1025</v>
      </c>
      <c r="G593" s="4">
        <v>15</v>
      </c>
      <c r="H593" s="4">
        <v>64049</v>
      </c>
      <c r="I593" s="4">
        <f t="shared" si="9"/>
        <v>960735</v>
      </c>
    </row>
    <row r="594" spans="1:9" x14ac:dyDescent="0.3">
      <c r="A594" s="1">
        <v>593</v>
      </c>
      <c r="B594" s="2" t="s">
        <v>605</v>
      </c>
      <c r="C594" s="3">
        <v>45519</v>
      </c>
      <c r="D594" s="4" t="s">
        <v>7</v>
      </c>
      <c r="E594" s="4" t="s">
        <v>20</v>
      </c>
      <c r="F594" s="4" t="s">
        <v>1030</v>
      </c>
      <c r="G594" s="4">
        <v>2</v>
      </c>
      <c r="H594" s="4">
        <v>44178</v>
      </c>
      <c r="I594" s="4">
        <f t="shared" si="9"/>
        <v>88356</v>
      </c>
    </row>
    <row r="595" spans="1:9" x14ac:dyDescent="0.3">
      <c r="A595" s="1">
        <v>594</v>
      </c>
      <c r="B595" s="2" t="s">
        <v>606</v>
      </c>
      <c r="C595" s="3">
        <v>45520</v>
      </c>
      <c r="D595" s="4" t="s">
        <v>5</v>
      </c>
      <c r="E595" s="4" t="s">
        <v>2</v>
      </c>
      <c r="F595" s="4" t="s">
        <v>1029</v>
      </c>
      <c r="G595" s="4">
        <v>11</v>
      </c>
      <c r="H595" s="4">
        <v>37821</v>
      </c>
      <c r="I595" s="4">
        <f t="shared" si="9"/>
        <v>416031</v>
      </c>
    </row>
    <row r="596" spans="1:9" x14ac:dyDescent="0.3">
      <c r="A596" s="1">
        <v>595</v>
      </c>
      <c r="B596" s="2" t="s">
        <v>607</v>
      </c>
      <c r="C596" s="3">
        <v>45521</v>
      </c>
      <c r="D596" s="4" t="s">
        <v>5</v>
      </c>
      <c r="E596" s="4" t="s">
        <v>20</v>
      </c>
      <c r="F596" s="4" t="s">
        <v>1027</v>
      </c>
      <c r="G596" s="4">
        <v>4</v>
      </c>
      <c r="H596" s="4">
        <v>56727</v>
      </c>
      <c r="I596" s="4">
        <f t="shared" si="9"/>
        <v>226908</v>
      </c>
    </row>
    <row r="597" spans="1:9" x14ac:dyDescent="0.3">
      <c r="A597" s="1">
        <v>596</v>
      </c>
      <c r="B597" s="2" t="s">
        <v>608</v>
      </c>
      <c r="C597" s="3">
        <v>45522</v>
      </c>
      <c r="D597" s="4" t="s">
        <v>5</v>
      </c>
      <c r="E597" s="4" t="s">
        <v>9</v>
      </c>
      <c r="F597" s="4" t="s">
        <v>1030</v>
      </c>
      <c r="G597" s="4">
        <v>19</v>
      </c>
      <c r="H597" s="4">
        <v>65935</v>
      </c>
      <c r="I597" s="4">
        <f t="shared" si="9"/>
        <v>1252765</v>
      </c>
    </row>
    <row r="598" spans="1:9" x14ac:dyDescent="0.3">
      <c r="A598" s="1">
        <v>597</v>
      </c>
      <c r="B598" s="2" t="s">
        <v>609</v>
      </c>
      <c r="C598" s="3">
        <v>45523</v>
      </c>
      <c r="D598" s="4" t="s">
        <v>7</v>
      </c>
      <c r="E598" s="4" t="s">
        <v>20</v>
      </c>
      <c r="F598" s="4" t="s">
        <v>1030</v>
      </c>
      <c r="G598" s="4">
        <v>17</v>
      </c>
      <c r="H598" s="4">
        <v>21999</v>
      </c>
      <c r="I598" s="4">
        <f t="shared" si="9"/>
        <v>373983</v>
      </c>
    </row>
    <row r="599" spans="1:9" x14ac:dyDescent="0.3">
      <c r="A599" s="1">
        <v>598</v>
      </c>
      <c r="B599" s="2" t="s">
        <v>610</v>
      </c>
      <c r="C599" s="3">
        <v>45524</v>
      </c>
      <c r="D599" s="4" t="s">
        <v>1</v>
      </c>
      <c r="E599" s="4" t="s">
        <v>24</v>
      </c>
      <c r="F599" s="4" t="s">
        <v>1023</v>
      </c>
      <c r="G599" s="4">
        <v>3</v>
      </c>
      <c r="H599" s="4">
        <v>67522</v>
      </c>
      <c r="I599" s="4">
        <f t="shared" si="9"/>
        <v>202566</v>
      </c>
    </row>
    <row r="600" spans="1:9" x14ac:dyDescent="0.3">
      <c r="A600" s="1">
        <v>599</v>
      </c>
      <c r="B600" s="2" t="s">
        <v>611</v>
      </c>
      <c r="C600" s="3">
        <v>45525</v>
      </c>
      <c r="D600" s="4" t="s">
        <v>5</v>
      </c>
      <c r="E600" s="4" t="s">
        <v>2</v>
      </c>
      <c r="F600" s="4" t="s">
        <v>1030</v>
      </c>
      <c r="G600" s="4">
        <v>18</v>
      </c>
      <c r="H600" s="4">
        <v>43712</v>
      </c>
      <c r="I600" s="4">
        <f t="shared" si="9"/>
        <v>786816</v>
      </c>
    </row>
    <row r="601" spans="1:9" x14ac:dyDescent="0.3">
      <c r="A601" s="1">
        <v>600</v>
      </c>
      <c r="B601" s="2" t="s">
        <v>612</v>
      </c>
      <c r="C601" s="3">
        <v>45526</v>
      </c>
      <c r="D601" s="4" t="s">
        <v>19</v>
      </c>
      <c r="E601" s="4" t="s">
        <v>24</v>
      </c>
      <c r="F601" s="4" t="s">
        <v>1023</v>
      </c>
      <c r="G601" s="4">
        <v>8</v>
      </c>
      <c r="H601" s="4">
        <v>69551</v>
      </c>
      <c r="I601" s="4">
        <f t="shared" si="9"/>
        <v>556408</v>
      </c>
    </row>
    <row r="602" spans="1:9" x14ac:dyDescent="0.3">
      <c r="A602" s="1">
        <v>601</v>
      </c>
      <c r="B602" s="2" t="s">
        <v>613</v>
      </c>
      <c r="C602" s="3">
        <v>45527</v>
      </c>
      <c r="D602" s="4" t="s">
        <v>7</v>
      </c>
      <c r="E602" s="4" t="s">
        <v>24</v>
      </c>
      <c r="F602" s="4" t="s">
        <v>1032</v>
      </c>
      <c r="G602" s="4">
        <v>19</v>
      </c>
      <c r="H602" s="4">
        <v>45172</v>
      </c>
      <c r="I602" s="4">
        <f t="shared" si="9"/>
        <v>858268</v>
      </c>
    </row>
    <row r="603" spans="1:9" x14ac:dyDescent="0.3">
      <c r="A603" s="1">
        <v>602</v>
      </c>
      <c r="B603" s="2" t="s">
        <v>614</v>
      </c>
      <c r="C603" s="3">
        <v>45528</v>
      </c>
      <c r="D603" s="4" t="s">
        <v>5</v>
      </c>
      <c r="E603" s="4" t="s">
        <v>9</v>
      </c>
      <c r="F603" s="4" t="s">
        <v>1029</v>
      </c>
      <c r="G603" s="4">
        <v>5</v>
      </c>
      <c r="H603" s="4">
        <v>38722</v>
      </c>
      <c r="I603" s="4">
        <f t="shared" si="9"/>
        <v>193610</v>
      </c>
    </row>
    <row r="604" spans="1:9" x14ac:dyDescent="0.3">
      <c r="A604" s="1">
        <v>603</v>
      </c>
      <c r="B604" s="2" t="s">
        <v>615</v>
      </c>
      <c r="C604" s="3">
        <v>45529</v>
      </c>
      <c r="D604" s="4" t="s">
        <v>5</v>
      </c>
      <c r="E604" s="4" t="s">
        <v>2</v>
      </c>
      <c r="F604" s="4" t="s">
        <v>1023</v>
      </c>
      <c r="G604" s="4">
        <v>7</v>
      </c>
      <c r="H604" s="4">
        <v>15625</v>
      </c>
      <c r="I604" s="4">
        <f t="shared" si="9"/>
        <v>109375</v>
      </c>
    </row>
    <row r="605" spans="1:9" x14ac:dyDescent="0.3">
      <c r="A605" s="1">
        <v>604</v>
      </c>
      <c r="B605" s="2" t="s">
        <v>616</v>
      </c>
      <c r="C605" s="3">
        <v>45530</v>
      </c>
      <c r="D605" s="4" t="s">
        <v>19</v>
      </c>
      <c r="E605" s="4" t="s">
        <v>2</v>
      </c>
      <c r="F605" s="4" t="s">
        <v>1027</v>
      </c>
      <c r="G605" s="4">
        <v>8</v>
      </c>
      <c r="H605" s="4">
        <v>72165</v>
      </c>
      <c r="I605" s="4">
        <f t="shared" si="9"/>
        <v>577320</v>
      </c>
    </row>
    <row r="606" spans="1:9" x14ac:dyDescent="0.3">
      <c r="A606" s="1">
        <v>605</v>
      </c>
      <c r="B606" s="2" t="s">
        <v>617</v>
      </c>
      <c r="C606" s="3">
        <v>45531</v>
      </c>
      <c r="D606" s="4" t="s">
        <v>1</v>
      </c>
      <c r="E606" s="4" t="s">
        <v>2</v>
      </c>
      <c r="F606" s="4" t="s">
        <v>1029</v>
      </c>
      <c r="G606" s="4">
        <v>5</v>
      </c>
      <c r="H606" s="4">
        <v>11859</v>
      </c>
      <c r="I606" s="4">
        <f t="shared" si="9"/>
        <v>59295</v>
      </c>
    </row>
    <row r="607" spans="1:9" x14ac:dyDescent="0.3">
      <c r="A607" s="1">
        <v>606</v>
      </c>
      <c r="B607" s="2" t="s">
        <v>618</v>
      </c>
      <c r="C607" s="3">
        <v>45532</v>
      </c>
      <c r="D607" s="4" t="s">
        <v>1</v>
      </c>
      <c r="E607" s="4" t="s">
        <v>2</v>
      </c>
      <c r="F607" s="4" t="s">
        <v>1023</v>
      </c>
      <c r="G607" s="4">
        <v>17</v>
      </c>
      <c r="H607" s="4">
        <v>46609</v>
      </c>
      <c r="I607" s="4">
        <f t="shared" si="9"/>
        <v>792353</v>
      </c>
    </row>
    <row r="608" spans="1:9" x14ac:dyDescent="0.3">
      <c r="A608" s="1">
        <v>607</v>
      </c>
      <c r="B608" s="2" t="s">
        <v>619</v>
      </c>
      <c r="C608" s="3">
        <v>45533</v>
      </c>
      <c r="D608" s="4" t="s">
        <v>1</v>
      </c>
      <c r="E608" s="4" t="s">
        <v>2</v>
      </c>
      <c r="F608" s="4" t="s">
        <v>1029</v>
      </c>
      <c r="G608" s="4">
        <v>5</v>
      </c>
      <c r="H608" s="4">
        <v>48307</v>
      </c>
      <c r="I608" s="4">
        <f t="shared" si="9"/>
        <v>241535</v>
      </c>
    </row>
    <row r="609" spans="1:9" x14ac:dyDescent="0.3">
      <c r="A609" s="1">
        <v>608</v>
      </c>
      <c r="B609" s="2" t="s">
        <v>620</v>
      </c>
      <c r="C609" s="3">
        <v>45534</v>
      </c>
      <c r="D609" s="4" t="s">
        <v>5</v>
      </c>
      <c r="E609" s="4" t="s">
        <v>9</v>
      </c>
      <c r="F609" s="4" t="s">
        <v>1028</v>
      </c>
      <c r="G609" s="4">
        <v>4</v>
      </c>
      <c r="H609" s="4">
        <v>26839</v>
      </c>
      <c r="I609" s="4">
        <f t="shared" si="9"/>
        <v>107356</v>
      </c>
    </row>
    <row r="610" spans="1:9" x14ac:dyDescent="0.3">
      <c r="A610" s="1">
        <v>609</v>
      </c>
      <c r="B610" s="2" t="s">
        <v>621</v>
      </c>
      <c r="C610" s="3">
        <v>45535</v>
      </c>
      <c r="D610" s="4" t="s">
        <v>5</v>
      </c>
      <c r="E610" s="4" t="s">
        <v>20</v>
      </c>
      <c r="F610" s="4" t="s">
        <v>1028</v>
      </c>
      <c r="G610" s="4">
        <v>19</v>
      </c>
      <c r="H610" s="4">
        <v>32216</v>
      </c>
      <c r="I610" s="4">
        <f t="shared" si="9"/>
        <v>612104</v>
      </c>
    </row>
    <row r="611" spans="1:9" x14ac:dyDescent="0.3">
      <c r="A611" s="1">
        <v>610</v>
      </c>
      <c r="B611" s="2" t="s">
        <v>622</v>
      </c>
      <c r="C611" s="3">
        <v>45536</v>
      </c>
      <c r="D611" s="4" t="s">
        <v>5</v>
      </c>
      <c r="E611" s="4" t="s">
        <v>24</v>
      </c>
      <c r="F611" s="4" t="s">
        <v>1032</v>
      </c>
      <c r="G611" s="4">
        <v>2</v>
      </c>
      <c r="H611" s="4">
        <v>57953</v>
      </c>
      <c r="I611" s="4">
        <f t="shared" si="9"/>
        <v>115906</v>
      </c>
    </row>
    <row r="612" spans="1:9" x14ac:dyDescent="0.3">
      <c r="A612" s="1">
        <v>611</v>
      </c>
      <c r="B612" s="2" t="s">
        <v>623</v>
      </c>
      <c r="C612" s="3">
        <v>45537</v>
      </c>
      <c r="D612" s="4" t="s">
        <v>7</v>
      </c>
      <c r="E612" s="4" t="s">
        <v>2</v>
      </c>
      <c r="F612" s="4" t="s">
        <v>1027</v>
      </c>
      <c r="G612" s="4">
        <v>11</v>
      </c>
      <c r="H612" s="4">
        <v>65593</v>
      </c>
      <c r="I612" s="4">
        <f t="shared" si="9"/>
        <v>721523</v>
      </c>
    </row>
    <row r="613" spans="1:9" x14ac:dyDescent="0.3">
      <c r="A613" s="1">
        <v>612</v>
      </c>
      <c r="B613" s="2" t="s">
        <v>624</v>
      </c>
      <c r="C613" s="3">
        <v>45538</v>
      </c>
      <c r="D613" s="4" t="s">
        <v>19</v>
      </c>
      <c r="E613" s="4" t="s">
        <v>20</v>
      </c>
      <c r="F613" s="4" t="s">
        <v>1025</v>
      </c>
      <c r="G613" s="4">
        <v>13</v>
      </c>
      <c r="H613" s="4">
        <v>54522</v>
      </c>
      <c r="I613" s="4">
        <f t="shared" si="9"/>
        <v>708786</v>
      </c>
    </row>
    <row r="614" spans="1:9" x14ac:dyDescent="0.3">
      <c r="A614" s="1">
        <v>613</v>
      </c>
      <c r="B614" s="2" t="s">
        <v>625</v>
      </c>
      <c r="C614" s="3">
        <v>45539</v>
      </c>
      <c r="D614" s="4" t="s">
        <v>5</v>
      </c>
      <c r="E614" s="4" t="s">
        <v>20</v>
      </c>
      <c r="F614" s="4" t="s">
        <v>1025</v>
      </c>
      <c r="G614" s="4">
        <v>15</v>
      </c>
      <c r="H614" s="4">
        <v>9886</v>
      </c>
      <c r="I614" s="4">
        <f t="shared" si="9"/>
        <v>148290</v>
      </c>
    </row>
    <row r="615" spans="1:9" x14ac:dyDescent="0.3">
      <c r="A615" s="1">
        <v>614</v>
      </c>
      <c r="B615" s="2" t="s">
        <v>626</v>
      </c>
      <c r="C615" s="3">
        <v>45540</v>
      </c>
      <c r="D615" s="4" t="s">
        <v>19</v>
      </c>
      <c r="E615" s="4" t="s">
        <v>24</v>
      </c>
      <c r="F615" s="4" t="s">
        <v>1023</v>
      </c>
      <c r="G615" s="4">
        <v>12</v>
      </c>
      <c r="H615" s="4">
        <v>12485</v>
      </c>
      <c r="I615" s="4">
        <f t="shared" si="9"/>
        <v>149820</v>
      </c>
    </row>
    <row r="616" spans="1:9" x14ac:dyDescent="0.3">
      <c r="A616" s="1">
        <v>615</v>
      </c>
      <c r="B616" s="2" t="s">
        <v>627</v>
      </c>
      <c r="C616" s="3">
        <v>45541</v>
      </c>
      <c r="D616" s="4" t="s">
        <v>19</v>
      </c>
      <c r="E616" s="4" t="s">
        <v>9</v>
      </c>
      <c r="F616" s="4" t="s">
        <v>1028</v>
      </c>
      <c r="G616" s="4">
        <v>11</v>
      </c>
      <c r="H616" s="4">
        <v>36455</v>
      </c>
      <c r="I616" s="4">
        <f t="shared" si="9"/>
        <v>401005</v>
      </c>
    </row>
    <row r="617" spans="1:9" x14ac:dyDescent="0.3">
      <c r="A617" s="1">
        <v>616</v>
      </c>
      <c r="B617" s="2" t="s">
        <v>628</v>
      </c>
      <c r="C617" s="3">
        <v>45542</v>
      </c>
      <c r="D617" s="4" t="s">
        <v>1</v>
      </c>
      <c r="E617" s="4" t="s">
        <v>11</v>
      </c>
      <c r="F617" s="4" t="s">
        <v>1023</v>
      </c>
      <c r="G617" s="4">
        <v>7</v>
      </c>
      <c r="H617" s="4">
        <v>21767</v>
      </c>
      <c r="I617" s="4">
        <f t="shared" si="9"/>
        <v>152369</v>
      </c>
    </row>
    <row r="618" spans="1:9" x14ac:dyDescent="0.3">
      <c r="A618" s="1">
        <v>617</v>
      </c>
      <c r="B618" s="2" t="s">
        <v>629</v>
      </c>
      <c r="C618" s="3">
        <v>45543</v>
      </c>
      <c r="D618" s="4" t="s">
        <v>7</v>
      </c>
      <c r="E618" s="4" t="s">
        <v>11</v>
      </c>
      <c r="F618" s="4" t="s">
        <v>1032</v>
      </c>
      <c r="G618" s="4">
        <v>5</v>
      </c>
      <c r="H618" s="4">
        <v>33453</v>
      </c>
      <c r="I618" s="4">
        <f t="shared" si="9"/>
        <v>167265</v>
      </c>
    </row>
    <row r="619" spans="1:9" x14ac:dyDescent="0.3">
      <c r="A619" s="1">
        <v>618</v>
      </c>
      <c r="B619" s="2" t="s">
        <v>630</v>
      </c>
      <c r="C619" s="3">
        <v>45544</v>
      </c>
      <c r="D619" s="4" t="s">
        <v>5</v>
      </c>
      <c r="E619" s="4" t="s">
        <v>20</v>
      </c>
      <c r="F619" s="4" t="s">
        <v>1032</v>
      </c>
      <c r="G619" s="4">
        <v>17</v>
      </c>
      <c r="H619" s="4">
        <v>58442</v>
      </c>
      <c r="I619" s="4">
        <f t="shared" si="9"/>
        <v>993514</v>
      </c>
    </row>
    <row r="620" spans="1:9" x14ac:dyDescent="0.3">
      <c r="A620" s="1">
        <v>619</v>
      </c>
      <c r="B620" s="2" t="s">
        <v>631</v>
      </c>
      <c r="C620" s="3">
        <v>45545</v>
      </c>
      <c r="D620" s="4" t="s">
        <v>1</v>
      </c>
      <c r="E620" s="4" t="s">
        <v>24</v>
      </c>
      <c r="F620" s="4" t="s">
        <v>1030</v>
      </c>
      <c r="G620" s="4">
        <v>9</v>
      </c>
      <c r="H620" s="4">
        <v>56877</v>
      </c>
      <c r="I620" s="4">
        <f t="shared" si="9"/>
        <v>511893</v>
      </c>
    </row>
    <row r="621" spans="1:9" x14ac:dyDescent="0.3">
      <c r="A621" s="1">
        <v>620</v>
      </c>
      <c r="B621" s="2" t="s">
        <v>632</v>
      </c>
      <c r="C621" s="3">
        <v>45546</v>
      </c>
      <c r="D621" s="4" t="s">
        <v>1</v>
      </c>
      <c r="E621" s="4" t="s">
        <v>11</v>
      </c>
      <c r="F621" s="4" t="s">
        <v>1032</v>
      </c>
      <c r="G621" s="4">
        <v>14</v>
      </c>
      <c r="H621" s="4">
        <v>17226</v>
      </c>
      <c r="I621" s="4">
        <f t="shared" si="9"/>
        <v>241164</v>
      </c>
    </row>
    <row r="622" spans="1:9" x14ac:dyDescent="0.3">
      <c r="A622" s="1">
        <v>621</v>
      </c>
      <c r="B622" s="2" t="s">
        <v>633</v>
      </c>
      <c r="C622" s="3">
        <v>45547</v>
      </c>
      <c r="D622" s="4" t="s">
        <v>5</v>
      </c>
      <c r="E622" s="4" t="s">
        <v>20</v>
      </c>
      <c r="F622" s="4" t="s">
        <v>1030</v>
      </c>
      <c r="G622" s="4">
        <v>12</v>
      </c>
      <c r="H622" s="4">
        <v>27588</v>
      </c>
      <c r="I622" s="4">
        <f t="shared" si="9"/>
        <v>331056</v>
      </c>
    </row>
    <row r="623" spans="1:9" x14ac:dyDescent="0.3">
      <c r="A623" s="1">
        <v>622</v>
      </c>
      <c r="B623" s="2" t="s">
        <v>634</v>
      </c>
      <c r="C623" s="3">
        <v>45548</v>
      </c>
      <c r="D623" s="4" t="s">
        <v>19</v>
      </c>
      <c r="E623" s="4" t="s">
        <v>1041</v>
      </c>
      <c r="F623" s="4" t="s">
        <v>1027</v>
      </c>
      <c r="G623" s="4">
        <v>6</v>
      </c>
      <c r="H623" s="4">
        <v>36709</v>
      </c>
      <c r="I623" s="4">
        <f t="shared" si="9"/>
        <v>220254</v>
      </c>
    </row>
    <row r="624" spans="1:9" x14ac:dyDescent="0.3">
      <c r="A624" s="1">
        <v>623</v>
      </c>
      <c r="B624" s="2" t="s">
        <v>635</v>
      </c>
      <c r="C624" s="3">
        <v>45549</v>
      </c>
      <c r="D624" s="4" t="s">
        <v>1</v>
      </c>
      <c r="E624" s="4" t="s">
        <v>11</v>
      </c>
      <c r="F624" s="4" t="s">
        <v>1023</v>
      </c>
      <c r="G624" s="4">
        <v>17</v>
      </c>
      <c r="H624" s="4">
        <v>52788</v>
      </c>
      <c r="I624" s="4">
        <f t="shared" si="9"/>
        <v>897396</v>
      </c>
    </row>
    <row r="625" spans="1:9" x14ac:dyDescent="0.3">
      <c r="A625" s="1">
        <v>624</v>
      </c>
      <c r="B625" s="2" t="s">
        <v>636</v>
      </c>
      <c r="C625" s="3">
        <v>45550</v>
      </c>
      <c r="D625" s="4" t="s">
        <v>19</v>
      </c>
      <c r="E625" s="4" t="s">
        <v>20</v>
      </c>
      <c r="F625" s="4" t="s">
        <v>1027</v>
      </c>
      <c r="G625" s="4">
        <v>19</v>
      </c>
      <c r="H625" s="4">
        <v>42019</v>
      </c>
      <c r="I625" s="4">
        <f t="shared" si="9"/>
        <v>798361</v>
      </c>
    </row>
    <row r="626" spans="1:9" x14ac:dyDescent="0.3">
      <c r="A626" s="1">
        <v>625</v>
      </c>
      <c r="B626" s="2" t="s">
        <v>637</v>
      </c>
      <c r="C626" s="3">
        <v>45551</v>
      </c>
      <c r="D626" s="4" t="s">
        <v>7</v>
      </c>
      <c r="E626" s="4" t="s">
        <v>20</v>
      </c>
      <c r="F626" s="4" t="s">
        <v>1032</v>
      </c>
      <c r="G626" s="4">
        <v>19</v>
      </c>
      <c r="H626" s="4">
        <v>49948</v>
      </c>
      <c r="I626" s="4">
        <f t="shared" si="9"/>
        <v>949012</v>
      </c>
    </row>
    <row r="627" spans="1:9" x14ac:dyDescent="0.3">
      <c r="A627" s="1">
        <v>626</v>
      </c>
      <c r="B627" s="2" t="s">
        <v>638</v>
      </c>
      <c r="C627" s="3">
        <v>45552</v>
      </c>
      <c r="D627" s="4" t="s">
        <v>19</v>
      </c>
      <c r="E627" s="4" t="s">
        <v>2</v>
      </c>
      <c r="F627" s="4" t="s">
        <v>1027</v>
      </c>
      <c r="G627" s="4">
        <v>16</v>
      </c>
      <c r="H627" s="4">
        <v>70133</v>
      </c>
      <c r="I627" s="4">
        <f t="shared" si="9"/>
        <v>1122128</v>
      </c>
    </row>
    <row r="628" spans="1:9" x14ac:dyDescent="0.3">
      <c r="A628" s="1">
        <v>627</v>
      </c>
      <c r="B628" s="2" t="s">
        <v>639</v>
      </c>
      <c r="C628" s="3">
        <v>45553</v>
      </c>
      <c r="D628" s="4" t="s">
        <v>7</v>
      </c>
      <c r="E628" s="4" t="s">
        <v>1041</v>
      </c>
      <c r="F628" s="4" t="s">
        <v>1027</v>
      </c>
      <c r="G628" s="4">
        <v>12</v>
      </c>
      <c r="H628" s="4">
        <v>71458</v>
      </c>
      <c r="I628" s="4">
        <f t="shared" si="9"/>
        <v>857496</v>
      </c>
    </row>
    <row r="629" spans="1:9" x14ac:dyDescent="0.3">
      <c r="A629" s="1">
        <v>628</v>
      </c>
      <c r="B629" s="2" t="s">
        <v>640</v>
      </c>
      <c r="C629" s="3">
        <v>45554</v>
      </c>
      <c r="D629" s="4" t="s">
        <v>19</v>
      </c>
      <c r="E629" s="4" t="s">
        <v>2</v>
      </c>
      <c r="F629" s="4" t="s">
        <v>1027</v>
      </c>
      <c r="G629" s="4">
        <v>12</v>
      </c>
      <c r="H629" s="4">
        <v>32526</v>
      </c>
      <c r="I629" s="4">
        <f t="shared" si="9"/>
        <v>390312</v>
      </c>
    </row>
    <row r="630" spans="1:9" x14ac:dyDescent="0.3">
      <c r="A630" s="1">
        <v>629</v>
      </c>
      <c r="B630" s="2" t="s">
        <v>641</v>
      </c>
      <c r="C630" s="3">
        <v>45555</v>
      </c>
      <c r="D630" s="4" t="s">
        <v>1</v>
      </c>
      <c r="E630" s="4" t="s">
        <v>24</v>
      </c>
      <c r="F630" s="4" t="s">
        <v>1032</v>
      </c>
      <c r="G630" s="4">
        <v>6</v>
      </c>
      <c r="H630" s="4">
        <v>57198</v>
      </c>
      <c r="I630" s="4">
        <f t="shared" si="9"/>
        <v>343188</v>
      </c>
    </row>
    <row r="631" spans="1:9" x14ac:dyDescent="0.3">
      <c r="A631" s="1">
        <v>630</v>
      </c>
      <c r="B631" s="2" t="s">
        <v>642</v>
      </c>
      <c r="C631" s="3">
        <v>45556</v>
      </c>
      <c r="D631" s="4" t="s">
        <v>1</v>
      </c>
      <c r="E631" s="4" t="s">
        <v>2</v>
      </c>
      <c r="F631" s="4" t="s">
        <v>1028</v>
      </c>
      <c r="G631" s="4">
        <v>4</v>
      </c>
      <c r="H631" s="4">
        <v>48395</v>
      </c>
      <c r="I631" s="4">
        <f t="shared" si="9"/>
        <v>193580</v>
      </c>
    </row>
    <row r="632" spans="1:9" x14ac:dyDescent="0.3">
      <c r="A632" s="1">
        <v>631</v>
      </c>
      <c r="B632" s="2" t="s">
        <v>643</v>
      </c>
      <c r="C632" s="3">
        <v>45557</v>
      </c>
      <c r="D632" s="4" t="s">
        <v>7</v>
      </c>
      <c r="E632" s="4" t="s">
        <v>2</v>
      </c>
      <c r="F632" s="4" t="s">
        <v>1027</v>
      </c>
      <c r="G632" s="4">
        <v>6</v>
      </c>
      <c r="H632" s="4">
        <v>29031</v>
      </c>
      <c r="I632" s="4">
        <f t="shared" si="9"/>
        <v>174186</v>
      </c>
    </row>
    <row r="633" spans="1:9" x14ac:dyDescent="0.3">
      <c r="A633" s="1">
        <v>632</v>
      </c>
      <c r="B633" s="2" t="s">
        <v>644</v>
      </c>
      <c r="C633" s="3">
        <v>45558</v>
      </c>
      <c r="D633" s="4" t="s">
        <v>5</v>
      </c>
      <c r="E633" s="4" t="s">
        <v>11</v>
      </c>
      <c r="F633" s="4" t="s">
        <v>1030</v>
      </c>
      <c r="G633" s="4">
        <v>11</v>
      </c>
      <c r="H633" s="4">
        <v>42701</v>
      </c>
      <c r="I633" s="4">
        <f t="shared" si="9"/>
        <v>469711</v>
      </c>
    </row>
    <row r="634" spans="1:9" x14ac:dyDescent="0.3">
      <c r="A634" s="1">
        <v>633</v>
      </c>
      <c r="B634" s="2" t="s">
        <v>645</v>
      </c>
      <c r="C634" s="3">
        <v>45559</v>
      </c>
      <c r="D634" s="4" t="s">
        <v>7</v>
      </c>
      <c r="E634" s="4" t="s">
        <v>20</v>
      </c>
      <c r="F634" s="4" t="s">
        <v>1032</v>
      </c>
      <c r="G634" s="4">
        <v>1</v>
      </c>
      <c r="H634" s="4">
        <v>30939</v>
      </c>
      <c r="I634" s="4">
        <f t="shared" si="9"/>
        <v>30939</v>
      </c>
    </row>
    <row r="635" spans="1:9" x14ac:dyDescent="0.3">
      <c r="A635" s="1">
        <v>634</v>
      </c>
      <c r="B635" s="2" t="s">
        <v>646</v>
      </c>
      <c r="C635" s="3">
        <v>45560</v>
      </c>
      <c r="D635" s="4" t="s">
        <v>7</v>
      </c>
      <c r="E635" s="4" t="s">
        <v>1041</v>
      </c>
      <c r="F635" s="4" t="s">
        <v>1027</v>
      </c>
      <c r="G635" s="4">
        <v>15</v>
      </c>
      <c r="H635" s="4">
        <v>54145</v>
      </c>
      <c r="I635" s="4">
        <f t="shared" si="9"/>
        <v>812175</v>
      </c>
    </row>
    <row r="636" spans="1:9" x14ac:dyDescent="0.3">
      <c r="A636" s="1">
        <v>635</v>
      </c>
      <c r="B636" s="2" t="s">
        <v>647</v>
      </c>
      <c r="C636" s="3">
        <v>45561</v>
      </c>
      <c r="D636" s="4" t="s">
        <v>19</v>
      </c>
      <c r="E636" s="4" t="s">
        <v>2</v>
      </c>
      <c r="F636" s="4" t="s">
        <v>1028</v>
      </c>
      <c r="G636" s="4">
        <v>11</v>
      </c>
      <c r="H636" s="4">
        <v>25324</v>
      </c>
      <c r="I636" s="4">
        <f t="shared" si="9"/>
        <v>278564</v>
      </c>
    </row>
    <row r="637" spans="1:9" x14ac:dyDescent="0.3">
      <c r="A637" s="1">
        <v>636</v>
      </c>
      <c r="B637" s="2" t="s">
        <v>648</v>
      </c>
      <c r="C637" s="3">
        <v>45562</v>
      </c>
      <c r="D637" s="4" t="s">
        <v>19</v>
      </c>
      <c r="E637" s="4" t="s">
        <v>1041</v>
      </c>
      <c r="F637" s="4" t="s">
        <v>1032</v>
      </c>
      <c r="G637" s="4">
        <v>19</v>
      </c>
      <c r="H637" s="4">
        <v>27867</v>
      </c>
      <c r="I637" s="4">
        <f t="shared" si="9"/>
        <v>529473</v>
      </c>
    </row>
    <row r="638" spans="1:9" x14ac:dyDescent="0.3">
      <c r="A638" s="1">
        <v>637</v>
      </c>
      <c r="B638" s="2" t="s">
        <v>649</v>
      </c>
      <c r="C638" s="3">
        <v>45563</v>
      </c>
      <c r="D638" s="4" t="s">
        <v>7</v>
      </c>
      <c r="E638" s="4" t="s">
        <v>2</v>
      </c>
      <c r="F638" s="4" t="s">
        <v>1025</v>
      </c>
      <c r="G638" s="4">
        <v>18</v>
      </c>
      <c r="H638" s="4">
        <v>5203</v>
      </c>
      <c r="I638" s="4">
        <f t="shared" si="9"/>
        <v>93654</v>
      </c>
    </row>
    <row r="639" spans="1:9" x14ac:dyDescent="0.3">
      <c r="A639" s="1">
        <v>638</v>
      </c>
      <c r="B639" s="2" t="s">
        <v>650</v>
      </c>
      <c r="C639" s="3">
        <v>45564</v>
      </c>
      <c r="D639" s="4" t="s">
        <v>1</v>
      </c>
      <c r="E639" s="4" t="s">
        <v>24</v>
      </c>
      <c r="F639" s="4" t="s">
        <v>1028</v>
      </c>
      <c r="G639" s="4">
        <v>17</v>
      </c>
      <c r="H639" s="4">
        <v>21544</v>
      </c>
      <c r="I639" s="4">
        <f t="shared" si="9"/>
        <v>366248</v>
      </c>
    </row>
    <row r="640" spans="1:9" x14ac:dyDescent="0.3">
      <c r="A640" s="1">
        <v>639</v>
      </c>
      <c r="B640" s="2" t="s">
        <v>651</v>
      </c>
      <c r="C640" s="3">
        <v>45565</v>
      </c>
      <c r="D640" s="4" t="s">
        <v>19</v>
      </c>
      <c r="E640" s="4" t="s">
        <v>2</v>
      </c>
      <c r="F640" s="4" t="s">
        <v>1030</v>
      </c>
      <c r="G640" s="4">
        <v>19</v>
      </c>
      <c r="H640" s="4">
        <v>20899</v>
      </c>
      <c r="I640" s="4">
        <f t="shared" si="9"/>
        <v>397081</v>
      </c>
    </row>
    <row r="641" spans="1:9" x14ac:dyDescent="0.3">
      <c r="A641" s="1">
        <v>640</v>
      </c>
      <c r="B641" s="2" t="s">
        <v>652</v>
      </c>
      <c r="C641" s="3">
        <v>45566</v>
      </c>
      <c r="D641" s="4" t="s">
        <v>5</v>
      </c>
      <c r="E641" s="4" t="s">
        <v>11</v>
      </c>
      <c r="F641" s="4" t="s">
        <v>1027</v>
      </c>
      <c r="G641" s="4">
        <v>14</v>
      </c>
      <c r="H641" s="4">
        <v>34063</v>
      </c>
      <c r="I641" s="4">
        <f t="shared" si="9"/>
        <v>476882</v>
      </c>
    </row>
    <row r="642" spans="1:9" x14ac:dyDescent="0.3">
      <c r="A642" s="1">
        <v>641</v>
      </c>
      <c r="B642" s="2" t="s">
        <v>653</v>
      </c>
      <c r="C642" s="3">
        <v>45567</v>
      </c>
      <c r="D642" s="4" t="s">
        <v>19</v>
      </c>
      <c r="E642" s="4" t="s">
        <v>20</v>
      </c>
      <c r="F642" s="4" t="s">
        <v>1025</v>
      </c>
      <c r="G642" s="4">
        <v>18</v>
      </c>
      <c r="H642" s="4">
        <v>8748</v>
      </c>
      <c r="I642" s="4">
        <f t="shared" si="9"/>
        <v>157464</v>
      </c>
    </row>
    <row r="643" spans="1:9" x14ac:dyDescent="0.3">
      <c r="A643" s="1">
        <v>642</v>
      </c>
      <c r="B643" s="2" t="s">
        <v>654</v>
      </c>
      <c r="C643" s="3">
        <v>45568</v>
      </c>
      <c r="D643" s="4" t="s">
        <v>19</v>
      </c>
      <c r="E643" s="4" t="s">
        <v>24</v>
      </c>
      <c r="F643" s="4" t="s">
        <v>1025</v>
      </c>
      <c r="G643" s="4">
        <v>19</v>
      </c>
      <c r="H643" s="4">
        <v>71629</v>
      </c>
      <c r="I643" s="4">
        <f t="shared" ref="I643:I706" si="10">G643*H643</f>
        <v>1360951</v>
      </c>
    </row>
    <row r="644" spans="1:9" x14ac:dyDescent="0.3">
      <c r="A644" s="1">
        <v>643</v>
      </c>
      <c r="B644" s="2" t="s">
        <v>655</v>
      </c>
      <c r="C644" s="3">
        <v>45569</v>
      </c>
      <c r="D644" s="4" t="s">
        <v>5</v>
      </c>
      <c r="E644" s="4" t="s">
        <v>2</v>
      </c>
      <c r="F644" s="4" t="s">
        <v>1032</v>
      </c>
      <c r="G644" s="4">
        <v>15</v>
      </c>
      <c r="H644" s="4">
        <v>25884</v>
      </c>
      <c r="I644" s="4">
        <f t="shared" si="10"/>
        <v>388260</v>
      </c>
    </row>
    <row r="645" spans="1:9" x14ac:dyDescent="0.3">
      <c r="A645" s="1">
        <v>644</v>
      </c>
      <c r="B645" s="2" t="s">
        <v>656</v>
      </c>
      <c r="C645" s="3">
        <v>45570</v>
      </c>
      <c r="D645" s="4" t="s">
        <v>7</v>
      </c>
      <c r="E645" s="4" t="s">
        <v>1041</v>
      </c>
      <c r="F645" s="4" t="s">
        <v>1025</v>
      </c>
      <c r="G645" s="4">
        <v>15</v>
      </c>
      <c r="H645" s="4">
        <v>30183</v>
      </c>
      <c r="I645" s="4">
        <f t="shared" si="10"/>
        <v>452745</v>
      </c>
    </row>
    <row r="646" spans="1:9" x14ac:dyDescent="0.3">
      <c r="A646" s="1">
        <v>645</v>
      </c>
      <c r="B646" s="2" t="s">
        <v>657</v>
      </c>
      <c r="C646" s="3">
        <v>45571</v>
      </c>
      <c r="D646" s="4" t="s">
        <v>5</v>
      </c>
      <c r="E646" s="4" t="s">
        <v>24</v>
      </c>
      <c r="F646" s="4" t="s">
        <v>1030</v>
      </c>
      <c r="G646" s="4">
        <v>4</v>
      </c>
      <c r="H646" s="4">
        <v>24259</v>
      </c>
      <c r="I646" s="4">
        <f t="shared" si="10"/>
        <v>97036</v>
      </c>
    </row>
    <row r="647" spans="1:9" x14ac:dyDescent="0.3">
      <c r="A647" s="1">
        <v>646</v>
      </c>
      <c r="B647" s="2" t="s">
        <v>658</v>
      </c>
      <c r="C647" s="3">
        <v>45572</v>
      </c>
      <c r="D647" s="4" t="s">
        <v>7</v>
      </c>
      <c r="E647" s="4" t="s">
        <v>24</v>
      </c>
      <c r="F647" s="4" t="s">
        <v>1030</v>
      </c>
      <c r="G647" s="4">
        <v>7</v>
      </c>
      <c r="H647" s="4">
        <v>40959</v>
      </c>
      <c r="I647" s="4">
        <f t="shared" si="10"/>
        <v>286713</v>
      </c>
    </row>
    <row r="648" spans="1:9" x14ac:dyDescent="0.3">
      <c r="A648" s="1">
        <v>647</v>
      </c>
      <c r="B648" s="2" t="s">
        <v>659</v>
      </c>
      <c r="C648" s="3">
        <v>45573</v>
      </c>
      <c r="D648" s="4" t="s">
        <v>7</v>
      </c>
      <c r="E648" s="4" t="s">
        <v>2</v>
      </c>
      <c r="F648" s="4" t="s">
        <v>1023</v>
      </c>
      <c r="G648" s="4">
        <v>13</v>
      </c>
      <c r="H648" s="4">
        <v>38457</v>
      </c>
      <c r="I648" s="4">
        <f t="shared" si="10"/>
        <v>499941</v>
      </c>
    </row>
    <row r="649" spans="1:9" x14ac:dyDescent="0.3">
      <c r="A649" s="1">
        <v>648</v>
      </c>
      <c r="B649" s="2" t="s">
        <v>660</v>
      </c>
      <c r="C649" s="3">
        <v>45574</v>
      </c>
      <c r="D649" s="4" t="s">
        <v>7</v>
      </c>
      <c r="E649" s="4" t="s">
        <v>24</v>
      </c>
      <c r="F649" s="4" t="s">
        <v>1030</v>
      </c>
      <c r="G649" s="4">
        <v>3</v>
      </c>
      <c r="H649" s="4">
        <v>7103</v>
      </c>
      <c r="I649" s="4">
        <f t="shared" si="10"/>
        <v>21309</v>
      </c>
    </row>
    <row r="650" spans="1:9" x14ac:dyDescent="0.3">
      <c r="A650" s="1">
        <v>649</v>
      </c>
      <c r="B650" s="2" t="s">
        <v>661</v>
      </c>
      <c r="C650" s="3">
        <v>45575</v>
      </c>
      <c r="D650" s="4" t="s">
        <v>5</v>
      </c>
      <c r="E650" s="4" t="s">
        <v>9</v>
      </c>
      <c r="F650" s="4" t="s">
        <v>1028</v>
      </c>
      <c r="G650" s="4">
        <v>16</v>
      </c>
      <c r="H650" s="4">
        <v>70901</v>
      </c>
      <c r="I650" s="4">
        <f t="shared" si="10"/>
        <v>1134416</v>
      </c>
    </row>
    <row r="651" spans="1:9" x14ac:dyDescent="0.3">
      <c r="A651" s="1">
        <v>650</v>
      </c>
      <c r="B651" s="2" t="s">
        <v>662</v>
      </c>
      <c r="C651" s="3">
        <v>45576</v>
      </c>
      <c r="D651" s="4" t="s">
        <v>7</v>
      </c>
      <c r="E651" s="4" t="s">
        <v>24</v>
      </c>
      <c r="F651" s="4" t="s">
        <v>1025</v>
      </c>
      <c r="G651" s="4">
        <v>9</v>
      </c>
      <c r="H651" s="4">
        <v>49535</v>
      </c>
      <c r="I651" s="4">
        <f t="shared" si="10"/>
        <v>445815</v>
      </c>
    </row>
    <row r="652" spans="1:9" x14ac:dyDescent="0.3">
      <c r="A652" s="1">
        <v>651</v>
      </c>
      <c r="B652" s="2" t="s">
        <v>663</v>
      </c>
      <c r="C652" s="3">
        <v>45577</v>
      </c>
      <c r="D652" s="4" t="s">
        <v>1</v>
      </c>
      <c r="E652" s="4" t="s">
        <v>9</v>
      </c>
      <c r="F652" s="4" t="s">
        <v>1030</v>
      </c>
      <c r="G652" s="4">
        <v>8</v>
      </c>
      <c r="H652" s="4">
        <v>21103</v>
      </c>
      <c r="I652" s="4">
        <f t="shared" si="10"/>
        <v>168824</v>
      </c>
    </row>
    <row r="653" spans="1:9" x14ac:dyDescent="0.3">
      <c r="A653" s="1">
        <v>652</v>
      </c>
      <c r="B653" s="2" t="s">
        <v>664</v>
      </c>
      <c r="C653" s="3">
        <v>45578</v>
      </c>
      <c r="D653" s="4" t="s">
        <v>5</v>
      </c>
      <c r="E653" s="4" t="s">
        <v>2</v>
      </c>
      <c r="F653" s="4" t="s">
        <v>1032</v>
      </c>
      <c r="G653" s="4">
        <v>13</v>
      </c>
      <c r="H653" s="4">
        <v>17391</v>
      </c>
      <c r="I653" s="4">
        <f t="shared" si="10"/>
        <v>226083</v>
      </c>
    </row>
    <row r="654" spans="1:9" x14ac:dyDescent="0.3">
      <c r="A654" s="1">
        <v>653</v>
      </c>
      <c r="B654" s="2" t="s">
        <v>665</v>
      </c>
      <c r="C654" s="3">
        <v>45579</v>
      </c>
      <c r="D654" s="4" t="s">
        <v>1</v>
      </c>
      <c r="E654" s="4" t="s">
        <v>20</v>
      </c>
      <c r="F654" s="4" t="s">
        <v>1023</v>
      </c>
      <c r="G654" s="4">
        <v>17</v>
      </c>
      <c r="H654" s="4">
        <v>33901</v>
      </c>
      <c r="I654" s="4">
        <f t="shared" si="10"/>
        <v>576317</v>
      </c>
    </row>
    <row r="655" spans="1:9" x14ac:dyDescent="0.3">
      <c r="A655" s="1">
        <v>654</v>
      </c>
      <c r="B655" s="2" t="s">
        <v>666</v>
      </c>
      <c r="C655" s="3">
        <v>45580</v>
      </c>
      <c r="D655" s="4" t="s">
        <v>7</v>
      </c>
      <c r="E655" s="4" t="s">
        <v>24</v>
      </c>
      <c r="F655" s="4" t="s">
        <v>1025</v>
      </c>
      <c r="G655" s="4">
        <v>17</v>
      </c>
      <c r="H655" s="4">
        <v>72914</v>
      </c>
      <c r="I655" s="4">
        <f t="shared" si="10"/>
        <v>1239538</v>
      </c>
    </row>
    <row r="656" spans="1:9" x14ac:dyDescent="0.3">
      <c r="A656" s="1">
        <v>655</v>
      </c>
      <c r="B656" s="2" t="s">
        <v>667</v>
      </c>
      <c r="C656" s="3">
        <v>45581</v>
      </c>
      <c r="D656" s="4" t="s">
        <v>19</v>
      </c>
      <c r="E656" s="4" t="s">
        <v>20</v>
      </c>
      <c r="F656" s="4" t="s">
        <v>1023</v>
      </c>
      <c r="G656" s="4">
        <v>17</v>
      </c>
      <c r="H656" s="4">
        <v>55357</v>
      </c>
      <c r="I656" s="4">
        <f t="shared" si="10"/>
        <v>941069</v>
      </c>
    </row>
    <row r="657" spans="1:9" x14ac:dyDescent="0.3">
      <c r="A657" s="1">
        <v>656</v>
      </c>
      <c r="B657" s="2" t="s">
        <v>668</v>
      </c>
      <c r="C657" s="3">
        <v>45582</v>
      </c>
      <c r="D657" s="4" t="s">
        <v>7</v>
      </c>
      <c r="E657" s="4" t="s">
        <v>9</v>
      </c>
      <c r="F657" s="4" t="s">
        <v>1025</v>
      </c>
      <c r="G657" s="4">
        <v>1</v>
      </c>
      <c r="H657" s="4">
        <v>43437</v>
      </c>
      <c r="I657" s="4">
        <f t="shared" si="10"/>
        <v>43437</v>
      </c>
    </row>
    <row r="658" spans="1:9" x14ac:dyDescent="0.3">
      <c r="A658" s="1">
        <v>657</v>
      </c>
      <c r="B658" s="2" t="s">
        <v>669</v>
      </c>
      <c r="C658" s="3">
        <v>45583</v>
      </c>
      <c r="D658" s="4" t="s">
        <v>1</v>
      </c>
      <c r="E658" s="4" t="s">
        <v>24</v>
      </c>
      <c r="F658" s="4" t="s">
        <v>1032</v>
      </c>
      <c r="G658" s="4">
        <v>8</v>
      </c>
      <c r="H658" s="4">
        <v>40503</v>
      </c>
      <c r="I658" s="4">
        <f t="shared" si="10"/>
        <v>324024</v>
      </c>
    </row>
    <row r="659" spans="1:9" x14ac:dyDescent="0.3">
      <c r="A659" s="1">
        <v>658</v>
      </c>
      <c r="B659" s="2" t="s">
        <v>670</v>
      </c>
      <c r="C659" s="3">
        <v>45584</v>
      </c>
      <c r="D659" s="4" t="s">
        <v>1</v>
      </c>
      <c r="E659" s="4" t="s">
        <v>11</v>
      </c>
      <c r="F659" s="4" t="s">
        <v>1023</v>
      </c>
      <c r="G659" s="4">
        <v>19</v>
      </c>
      <c r="H659" s="4">
        <v>46258</v>
      </c>
      <c r="I659" s="4">
        <f t="shared" si="10"/>
        <v>878902</v>
      </c>
    </row>
    <row r="660" spans="1:9" x14ac:dyDescent="0.3">
      <c r="A660" s="1">
        <v>659</v>
      </c>
      <c r="B660" s="2" t="s">
        <v>671</v>
      </c>
      <c r="C660" s="3">
        <v>45585</v>
      </c>
      <c r="D660" s="4" t="s">
        <v>5</v>
      </c>
      <c r="E660" s="4" t="s">
        <v>20</v>
      </c>
      <c r="F660" s="4" t="s">
        <v>1027</v>
      </c>
      <c r="G660" s="4">
        <v>6</v>
      </c>
      <c r="H660" s="4">
        <v>38724</v>
      </c>
      <c r="I660" s="4">
        <f t="shared" si="10"/>
        <v>232344</v>
      </c>
    </row>
    <row r="661" spans="1:9" x14ac:dyDescent="0.3">
      <c r="A661" s="1">
        <v>660</v>
      </c>
      <c r="B661" s="2" t="s">
        <v>672</v>
      </c>
      <c r="C661" s="3">
        <v>45586</v>
      </c>
      <c r="D661" s="4" t="s">
        <v>19</v>
      </c>
      <c r="E661" s="4" t="s">
        <v>24</v>
      </c>
      <c r="F661" s="4" t="s">
        <v>1028</v>
      </c>
      <c r="G661" s="4">
        <v>3</v>
      </c>
      <c r="H661" s="4">
        <v>69286</v>
      </c>
      <c r="I661" s="4">
        <f t="shared" si="10"/>
        <v>207858</v>
      </c>
    </row>
    <row r="662" spans="1:9" x14ac:dyDescent="0.3">
      <c r="A662" s="1">
        <v>661</v>
      </c>
      <c r="B662" s="2" t="s">
        <v>673</v>
      </c>
      <c r="C662" s="3">
        <v>45587</v>
      </c>
      <c r="D662" s="4" t="s">
        <v>5</v>
      </c>
      <c r="E662" s="4" t="s">
        <v>20</v>
      </c>
      <c r="F662" s="4" t="s">
        <v>1028</v>
      </c>
      <c r="G662" s="4">
        <v>5</v>
      </c>
      <c r="H662" s="4">
        <v>19908</v>
      </c>
      <c r="I662" s="4">
        <f t="shared" si="10"/>
        <v>99540</v>
      </c>
    </row>
    <row r="663" spans="1:9" x14ac:dyDescent="0.3">
      <c r="A663" s="1">
        <v>662</v>
      </c>
      <c r="B663" s="2" t="s">
        <v>674</v>
      </c>
      <c r="C663" s="3">
        <v>45588</v>
      </c>
      <c r="D663" s="4" t="s">
        <v>1</v>
      </c>
      <c r="E663" s="4" t="s">
        <v>24</v>
      </c>
      <c r="F663" s="4" t="s">
        <v>1025</v>
      </c>
      <c r="G663" s="4">
        <v>13</v>
      </c>
      <c r="H663" s="4">
        <v>55626</v>
      </c>
      <c r="I663" s="4">
        <f t="shared" si="10"/>
        <v>723138</v>
      </c>
    </row>
    <row r="664" spans="1:9" x14ac:dyDescent="0.3">
      <c r="A664" s="1">
        <v>663</v>
      </c>
      <c r="B664" s="2" t="s">
        <v>675</v>
      </c>
      <c r="C664" s="3">
        <v>45589</v>
      </c>
      <c r="D664" s="4" t="s">
        <v>7</v>
      </c>
      <c r="E664" s="4" t="s">
        <v>2</v>
      </c>
      <c r="F664" s="4" t="s">
        <v>1027</v>
      </c>
      <c r="G664" s="4">
        <v>15</v>
      </c>
      <c r="H664" s="4">
        <v>42228</v>
      </c>
      <c r="I664" s="4">
        <f t="shared" si="10"/>
        <v>633420</v>
      </c>
    </row>
    <row r="665" spans="1:9" x14ac:dyDescent="0.3">
      <c r="A665" s="1">
        <v>664</v>
      </c>
      <c r="B665" s="2" t="s">
        <v>676</v>
      </c>
      <c r="C665" s="3">
        <v>45590</v>
      </c>
      <c r="D665" s="4" t="s">
        <v>19</v>
      </c>
      <c r="E665" s="4" t="s">
        <v>20</v>
      </c>
      <c r="F665" s="4" t="s">
        <v>1023</v>
      </c>
      <c r="G665" s="4">
        <v>14</v>
      </c>
      <c r="H665" s="4">
        <v>28386</v>
      </c>
      <c r="I665" s="4">
        <f t="shared" si="10"/>
        <v>397404</v>
      </c>
    </row>
    <row r="666" spans="1:9" x14ac:dyDescent="0.3">
      <c r="A666" s="1">
        <v>665</v>
      </c>
      <c r="B666" s="2" t="s">
        <v>677</v>
      </c>
      <c r="C666" s="3">
        <v>45591</v>
      </c>
      <c r="D666" s="4" t="s">
        <v>7</v>
      </c>
      <c r="E666" s="4" t="s">
        <v>11</v>
      </c>
      <c r="F666" s="4" t="s">
        <v>1030</v>
      </c>
      <c r="G666" s="4">
        <v>16</v>
      </c>
      <c r="H666" s="4">
        <v>51754</v>
      </c>
      <c r="I666" s="4">
        <f t="shared" si="10"/>
        <v>828064</v>
      </c>
    </row>
    <row r="667" spans="1:9" x14ac:dyDescent="0.3">
      <c r="A667" s="1">
        <v>666</v>
      </c>
      <c r="B667" s="2" t="s">
        <v>678</v>
      </c>
      <c r="C667" s="3">
        <v>45592</v>
      </c>
      <c r="D667" s="4" t="s">
        <v>7</v>
      </c>
      <c r="E667" s="4" t="s">
        <v>11</v>
      </c>
      <c r="F667" s="4" t="s">
        <v>1025</v>
      </c>
      <c r="G667" s="4">
        <v>18</v>
      </c>
      <c r="H667" s="4">
        <v>33302</v>
      </c>
      <c r="I667" s="4">
        <f t="shared" si="10"/>
        <v>599436</v>
      </c>
    </row>
    <row r="668" spans="1:9" x14ac:dyDescent="0.3">
      <c r="A668" s="1">
        <v>667</v>
      </c>
      <c r="B668" s="2" t="s">
        <v>679</v>
      </c>
      <c r="C668" s="3">
        <v>45593</v>
      </c>
      <c r="D668" s="4" t="s">
        <v>19</v>
      </c>
      <c r="E668" s="4" t="s">
        <v>9</v>
      </c>
      <c r="F668" s="4" t="s">
        <v>1023</v>
      </c>
      <c r="G668" s="4">
        <v>11</v>
      </c>
      <c r="H668" s="4">
        <v>65815</v>
      </c>
      <c r="I668" s="4">
        <f t="shared" si="10"/>
        <v>723965</v>
      </c>
    </row>
    <row r="669" spans="1:9" x14ac:dyDescent="0.3">
      <c r="A669" s="1">
        <v>668</v>
      </c>
      <c r="B669" s="2" t="s">
        <v>680</v>
      </c>
      <c r="C669" s="3">
        <v>45594</v>
      </c>
      <c r="D669" s="4" t="s">
        <v>5</v>
      </c>
      <c r="E669" s="4" t="s">
        <v>24</v>
      </c>
      <c r="F669" s="4" t="s">
        <v>1032</v>
      </c>
      <c r="G669" s="4">
        <v>3</v>
      </c>
      <c r="H669" s="4">
        <v>68344</v>
      </c>
      <c r="I669" s="4">
        <f t="shared" si="10"/>
        <v>205032</v>
      </c>
    </row>
    <row r="670" spans="1:9" x14ac:dyDescent="0.3">
      <c r="A670" s="1">
        <v>669</v>
      </c>
      <c r="B670" s="2" t="s">
        <v>681</v>
      </c>
      <c r="C670" s="3">
        <v>45595</v>
      </c>
      <c r="D670" s="4" t="s">
        <v>7</v>
      </c>
      <c r="E670" s="4" t="s">
        <v>20</v>
      </c>
      <c r="F670" s="4" t="s">
        <v>1027</v>
      </c>
      <c r="G670" s="4">
        <v>10</v>
      </c>
      <c r="H670" s="4">
        <v>40618</v>
      </c>
      <c r="I670" s="4">
        <f t="shared" si="10"/>
        <v>406180</v>
      </c>
    </row>
    <row r="671" spans="1:9" x14ac:dyDescent="0.3">
      <c r="A671" s="1">
        <v>670</v>
      </c>
      <c r="B671" s="2" t="s">
        <v>682</v>
      </c>
      <c r="C671" s="3">
        <v>45596</v>
      </c>
      <c r="D671" s="4" t="s">
        <v>1</v>
      </c>
      <c r="E671" s="4" t="s">
        <v>9</v>
      </c>
      <c r="F671" s="4" t="s">
        <v>1027</v>
      </c>
      <c r="G671" s="4">
        <v>10</v>
      </c>
      <c r="H671" s="4">
        <v>66114</v>
      </c>
      <c r="I671" s="4">
        <f t="shared" si="10"/>
        <v>661140</v>
      </c>
    </row>
    <row r="672" spans="1:9" x14ac:dyDescent="0.3">
      <c r="A672" s="1">
        <v>671</v>
      </c>
      <c r="B672" s="2" t="s">
        <v>683</v>
      </c>
      <c r="C672" s="3">
        <v>45597</v>
      </c>
      <c r="D672" s="4" t="s">
        <v>7</v>
      </c>
      <c r="E672" s="4" t="s">
        <v>20</v>
      </c>
      <c r="F672" s="4" t="s">
        <v>1032</v>
      </c>
      <c r="G672" s="4">
        <v>16</v>
      </c>
      <c r="H672" s="4">
        <v>30525</v>
      </c>
      <c r="I672" s="4">
        <f t="shared" si="10"/>
        <v>488400</v>
      </c>
    </row>
    <row r="673" spans="1:9" x14ac:dyDescent="0.3">
      <c r="A673" s="1">
        <v>672</v>
      </c>
      <c r="B673" s="2" t="s">
        <v>684</v>
      </c>
      <c r="C673" s="3">
        <v>45598</v>
      </c>
      <c r="D673" s="4" t="s">
        <v>19</v>
      </c>
      <c r="E673" s="4" t="s">
        <v>24</v>
      </c>
      <c r="F673" s="4" t="s">
        <v>1027</v>
      </c>
      <c r="G673" s="4">
        <v>12</v>
      </c>
      <c r="H673" s="4">
        <v>19334</v>
      </c>
      <c r="I673" s="4">
        <f t="shared" si="10"/>
        <v>232008</v>
      </c>
    </row>
    <row r="674" spans="1:9" x14ac:dyDescent="0.3">
      <c r="A674" s="1">
        <v>673</v>
      </c>
      <c r="B674" s="2" t="s">
        <v>685</v>
      </c>
      <c r="C674" s="3">
        <v>45599</v>
      </c>
      <c r="D674" s="4" t="s">
        <v>19</v>
      </c>
      <c r="E674" s="4" t="s">
        <v>11</v>
      </c>
      <c r="F674" s="4" t="s">
        <v>1027</v>
      </c>
      <c r="G674" s="4">
        <v>2</v>
      </c>
      <c r="H674" s="4">
        <v>67767</v>
      </c>
      <c r="I674" s="4">
        <f t="shared" si="10"/>
        <v>135534</v>
      </c>
    </row>
    <row r="675" spans="1:9" x14ac:dyDescent="0.3">
      <c r="A675" s="1">
        <v>674</v>
      </c>
      <c r="B675" s="2" t="s">
        <v>686</v>
      </c>
      <c r="C675" s="3">
        <v>45600</v>
      </c>
      <c r="D675" s="4" t="s">
        <v>19</v>
      </c>
      <c r="E675" s="4" t="s">
        <v>2</v>
      </c>
      <c r="F675" s="4" t="s">
        <v>1027</v>
      </c>
      <c r="G675" s="4">
        <v>9</v>
      </c>
      <c r="H675" s="4">
        <v>11644</v>
      </c>
      <c r="I675" s="4">
        <f t="shared" si="10"/>
        <v>104796</v>
      </c>
    </row>
    <row r="676" spans="1:9" x14ac:dyDescent="0.3">
      <c r="A676" s="1">
        <v>675</v>
      </c>
      <c r="B676" s="2" t="s">
        <v>687</v>
      </c>
      <c r="C676" s="3">
        <v>45601</v>
      </c>
      <c r="D676" s="4" t="s">
        <v>5</v>
      </c>
      <c r="E676" s="4" t="s">
        <v>11</v>
      </c>
      <c r="F676" s="4" t="s">
        <v>1028</v>
      </c>
      <c r="G676" s="4">
        <v>3</v>
      </c>
      <c r="H676" s="4">
        <v>37933</v>
      </c>
      <c r="I676" s="4">
        <f t="shared" si="10"/>
        <v>113799</v>
      </c>
    </row>
    <row r="677" spans="1:9" x14ac:dyDescent="0.3">
      <c r="A677" s="1">
        <v>676</v>
      </c>
      <c r="B677" s="2" t="s">
        <v>688</v>
      </c>
      <c r="C677" s="3">
        <v>45602</v>
      </c>
      <c r="D677" s="4" t="s">
        <v>7</v>
      </c>
      <c r="E677" s="4" t="s">
        <v>9</v>
      </c>
      <c r="F677" s="4" t="s">
        <v>1030</v>
      </c>
      <c r="G677" s="4">
        <v>15</v>
      </c>
      <c r="H677" s="4">
        <v>48469</v>
      </c>
      <c r="I677" s="4">
        <f t="shared" si="10"/>
        <v>727035</v>
      </c>
    </row>
    <row r="678" spans="1:9" x14ac:dyDescent="0.3">
      <c r="A678" s="1">
        <v>677</v>
      </c>
      <c r="B678" s="2" t="s">
        <v>689</v>
      </c>
      <c r="C678" s="3">
        <v>45603</v>
      </c>
      <c r="D678" s="4" t="s">
        <v>5</v>
      </c>
      <c r="E678" s="4" t="s">
        <v>2</v>
      </c>
      <c r="F678" s="4" t="s">
        <v>1032</v>
      </c>
      <c r="G678" s="4">
        <v>3</v>
      </c>
      <c r="H678" s="4">
        <v>38687</v>
      </c>
      <c r="I678" s="4">
        <f t="shared" si="10"/>
        <v>116061</v>
      </c>
    </row>
    <row r="679" spans="1:9" x14ac:dyDescent="0.3">
      <c r="A679" s="1">
        <v>678</v>
      </c>
      <c r="B679" s="2" t="s">
        <v>690</v>
      </c>
      <c r="C679" s="3">
        <v>45604</v>
      </c>
      <c r="D679" s="4" t="s">
        <v>5</v>
      </c>
      <c r="E679" s="4" t="s">
        <v>9</v>
      </c>
      <c r="F679" s="4" t="s">
        <v>1027</v>
      </c>
      <c r="G679" s="4">
        <v>19</v>
      </c>
      <c r="H679" s="4">
        <v>57656</v>
      </c>
      <c r="I679" s="4">
        <f t="shared" si="10"/>
        <v>1095464</v>
      </c>
    </row>
    <row r="680" spans="1:9" x14ac:dyDescent="0.3">
      <c r="A680" s="1">
        <v>679</v>
      </c>
      <c r="B680" s="2" t="s">
        <v>691</v>
      </c>
      <c r="C680" s="3">
        <v>45605</v>
      </c>
      <c r="D680" s="4" t="s">
        <v>19</v>
      </c>
      <c r="E680" s="4" t="s">
        <v>24</v>
      </c>
      <c r="F680" s="4" t="s">
        <v>1028</v>
      </c>
      <c r="G680" s="4">
        <v>18</v>
      </c>
      <c r="H680" s="4">
        <v>22375</v>
      </c>
      <c r="I680" s="4">
        <f t="shared" si="10"/>
        <v>402750</v>
      </c>
    </row>
    <row r="681" spans="1:9" x14ac:dyDescent="0.3">
      <c r="A681" s="1">
        <v>680</v>
      </c>
      <c r="B681" s="2" t="s">
        <v>692</v>
      </c>
      <c r="C681" s="3">
        <v>45606</v>
      </c>
      <c r="D681" s="4" t="s">
        <v>19</v>
      </c>
      <c r="E681" s="4" t="s">
        <v>2</v>
      </c>
      <c r="F681" s="4" t="s">
        <v>1032</v>
      </c>
      <c r="G681" s="4">
        <v>8</v>
      </c>
      <c r="H681" s="4">
        <v>70206</v>
      </c>
      <c r="I681" s="4">
        <f t="shared" si="10"/>
        <v>561648</v>
      </c>
    </row>
    <row r="682" spans="1:9" x14ac:dyDescent="0.3">
      <c r="A682" s="1">
        <v>681</v>
      </c>
      <c r="B682" s="2" t="s">
        <v>693</v>
      </c>
      <c r="C682" s="3">
        <v>45607</v>
      </c>
      <c r="D682" s="4" t="s">
        <v>5</v>
      </c>
      <c r="E682" s="4" t="s">
        <v>9</v>
      </c>
      <c r="F682" s="4" t="s">
        <v>1025</v>
      </c>
      <c r="G682" s="4">
        <v>17</v>
      </c>
      <c r="H682" s="4">
        <v>41607</v>
      </c>
      <c r="I682" s="4">
        <f t="shared" si="10"/>
        <v>707319</v>
      </c>
    </row>
    <row r="683" spans="1:9" x14ac:dyDescent="0.3">
      <c r="A683" s="1">
        <v>682</v>
      </c>
      <c r="B683" s="2" t="s">
        <v>694</v>
      </c>
      <c r="C683" s="3">
        <v>45608</v>
      </c>
      <c r="D683" s="4" t="s">
        <v>7</v>
      </c>
      <c r="E683" s="4" t="s">
        <v>24</v>
      </c>
      <c r="F683" s="4" t="s">
        <v>1025</v>
      </c>
      <c r="G683" s="4">
        <v>8</v>
      </c>
      <c r="H683" s="4">
        <v>28993</v>
      </c>
      <c r="I683" s="4">
        <f t="shared" si="10"/>
        <v>231944</v>
      </c>
    </row>
    <row r="684" spans="1:9" x14ac:dyDescent="0.3">
      <c r="A684" s="1">
        <v>683</v>
      </c>
      <c r="B684" s="2" t="s">
        <v>695</v>
      </c>
      <c r="C684" s="3">
        <v>45609</v>
      </c>
      <c r="D684" s="4" t="s">
        <v>1</v>
      </c>
      <c r="E684" s="4" t="s">
        <v>11</v>
      </c>
      <c r="F684" s="4" t="s">
        <v>1027</v>
      </c>
      <c r="G684" s="4">
        <v>7</v>
      </c>
      <c r="H684" s="4">
        <v>49386</v>
      </c>
      <c r="I684" s="4">
        <f t="shared" si="10"/>
        <v>345702</v>
      </c>
    </row>
    <row r="685" spans="1:9" x14ac:dyDescent="0.3">
      <c r="A685" s="1">
        <v>684</v>
      </c>
      <c r="B685" s="2" t="s">
        <v>696</v>
      </c>
      <c r="C685" s="3">
        <v>45610</v>
      </c>
      <c r="D685" s="4" t="s">
        <v>5</v>
      </c>
      <c r="E685" s="4" t="s">
        <v>24</v>
      </c>
      <c r="F685" s="4" t="s">
        <v>1028</v>
      </c>
      <c r="G685" s="4">
        <v>7</v>
      </c>
      <c r="H685" s="4">
        <v>51287</v>
      </c>
      <c r="I685" s="4">
        <f t="shared" si="10"/>
        <v>359009</v>
      </c>
    </row>
    <row r="686" spans="1:9" x14ac:dyDescent="0.3">
      <c r="A686" s="1">
        <v>685</v>
      </c>
      <c r="B686" s="2" t="s">
        <v>697</v>
      </c>
      <c r="C686" s="3">
        <v>45611</v>
      </c>
      <c r="D686" s="4" t="s">
        <v>7</v>
      </c>
      <c r="E686" s="4" t="s">
        <v>20</v>
      </c>
      <c r="F686" s="4" t="s">
        <v>1028</v>
      </c>
      <c r="G686" s="4">
        <v>3</v>
      </c>
      <c r="H686" s="4">
        <v>13210</v>
      </c>
      <c r="I686" s="4">
        <f t="shared" si="10"/>
        <v>39630</v>
      </c>
    </row>
    <row r="687" spans="1:9" x14ac:dyDescent="0.3">
      <c r="A687" s="1">
        <v>686</v>
      </c>
      <c r="B687" s="2" t="s">
        <v>698</v>
      </c>
      <c r="C687" s="3">
        <v>45612</v>
      </c>
      <c r="D687" s="4" t="s">
        <v>19</v>
      </c>
      <c r="E687" s="4" t="s">
        <v>1041</v>
      </c>
      <c r="F687" s="4" t="s">
        <v>1032</v>
      </c>
      <c r="G687" s="4">
        <v>1</v>
      </c>
      <c r="H687" s="4">
        <v>15922</v>
      </c>
      <c r="I687" s="4">
        <f t="shared" si="10"/>
        <v>15922</v>
      </c>
    </row>
    <row r="688" spans="1:9" x14ac:dyDescent="0.3">
      <c r="A688" s="1">
        <v>687</v>
      </c>
      <c r="B688" s="2" t="s">
        <v>699</v>
      </c>
      <c r="C688" s="3">
        <v>45613</v>
      </c>
      <c r="D688" s="4" t="s">
        <v>19</v>
      </c>
      <c r="E688" s="4" t="s">
        <v>1041</v>
      </c>
      <c r="F688" s="4" t="s">
        <v>1032</v>
      </c>
      <c r="G688" s="4">
        <v>4</v>
      </c>
      <c r="H688" s="4">
        <v>41289</v>
      </c>
      <c r="I688" s="4">
        <f t="shared" si="10"/>
        <v>165156</v>
      </c>
    </row>
    <row r="689" spans="1:9" x14ac:dyDescent="0.3">
      <c r="A689" s="1">
        <v>688</v>
      </c>
      <c r="B689" s="2" t="s">
        <v>700</v>
      </c>
      <c r="C689" s="3">
        <v>45614</v>
      </c>
      <c r="D689" s="4" t="s">
        <v>7</v>
      </c>
      <c r="E689" s="4" t="s">
        <v>20</v>
      </c>
      <c r="F689" s="4" t="s">
        <v>1028</v>
      </c>
      <c r="G689" s="4">
        <v>5</v>
      </c>
      <c r="H689" s="4">
        <v>38340</v>
      </c>
      <c r="I689" s="4">
        <f t="shared" si="10"/>
        <v>191700</v>
      </c>
    </row>
    <row r="690" spans="1:9" x14ac:dyDescent="0.3">
      <c r="A690" s="1">
        <v>689</v>
      </c>
      <c r="B690" s="2" t="s">
        <v>701</v>
      </c>
      <c r="C690" s="3">
        <v>45615</v>
      </c>
      <c r="D690" s="4" t="s">
        <v>1</v>
      </c>
      <c r="E690" s="4" t="s">
        <v>9</v>
      </c>
      <c r="F690" s="4" t="s">
        <v>1032</v>
      </c>
      <c r="G690" s="4">
        <v>1</v>
      </c>
      <c r="H690" s="4">
        <v>44850</v>
      </c>
      <c r="I690" s="4">
        <f t="shared" si="10"/>
        <v>44850</v>
      </c>
    </row>
    <row r="691" spans="1:9" x14ac:dyDescent="0.3">
      <c r="A691" s="1">
        <v>690</v>
      </c>
      <c r="B691" s="2" t="s">
        <v>702</v>
      </c>
      <c r="C691" s="3">
        <v>45616</v>
      </c>
      <c r="D691" s="4" t="s">
        <v>19</v>
      </c>
      <c r="E691" s="4" t="s">
        <v>9</v>
      </c>
      <c r="F691" s="4" t="s">
        <v>1028</v>
      </c>
      <c r="G691" s="4">
        <v>15</v>
      </c>
      <c r="H691" s="4">
        <v>61984</v>
      </c>
      <c r="I691" s="4">
        <f t="shared" si="10"/>
        <v>929760</v>
      </c>
    </row>
    <row r="692" spans="1:9" x14ac:dyDescent="0.3">
      <c r="A692" s="1">
        <v>691</v>
      </c>
      <c r="B692" s="2" t="s">
        <v>703</v>
      </c>
      <c r="C692" s="3">
        <v>45617</v>
      </c>
      <c r="D692" s="4" t="s">
        <v>19</v>
      </c>
      <c r="E692" s="4" t="s">
        <v>1041</v>
      </c>
      <c r="F692" s="4" t="s">
        <v>1030</v>
      </c>
      <c r="G692" s="4">
        <v>5</v>
      </c>
      <c r="H692" s="4">
        <v>16094</v>
      </c>
      <c r="I692" s="4">
        <f t="shared" si="10"/>
        <v>80470</v>
      </c>
    </row>
    <row r="693" spans="1:9" x14ac:dyDescent="0.3">
      <c r="A693" s="1">
        <v>692</v>
      </c>
      <c r="B693" s="2" t="s">
        <v>704</v>
      </c>
      <c r="C693" s="3">
        <v>45618</v>
      </c>
      <c r="D693" s="4" t="s">
        <v>19</v>
      </c>
      <c r="E693" s="4" t="s">
        <v>20</v>
      </c>
      <c r="F693" s="4" t="s">
        <v>1028</v>
      </c>
      <c r="G693" s="4">
        <v>13</v>
      </c>
      <c r="H693" s="4">
        <v>38418</v>
      </c>
      <c r="I693" s="4">
        <f t="shared" si="10"/>
        <v>499434</v>
      </c>
    </row>
    <row r="694" spans="1:9" x14ac:dyDescent="0.3">
      <c r="A694" s="1">
        <v>693</v>
      </c>
      <c r="B694" s="2" t="s">
        <v>705</v>
      </c>
      <c r="C694" s="3">
        <v>45619</v>
      </c>
      <c r="D694" s="4" t="s">
        <v>7</v>
      </c>
      <c r="E694" s="4" t="s">
        <v>20</v>
      </c>
      <c r="F694" s="4" t="s">
        <v>1025</v>
      </c>
      <c r="G694" s="4">
        <v>8</v>
      </c>
      <c r="H694" s="4">
        <v>10741</v>
      </c>
      <c r="I694" s="4">
        <f t="shared" si="10"/>
        <v>85928</v>
      </c>
    </row>
    <row r="695" spans="1:9" x14ac:dyDescent="0.3">
      <c r="A695" s="1">
        <v>694</v>
      </c>
      <c r="B695" s="2" t="s">
        <v>706</v>
      </c>
      <c r="C695" s="3">
        <v>45620</v>
      </c>
      <c r="D695" s="4" t="s">
        <v>5</v>
      </c>
      <c r="E695" s="4" t="s">
        <v>11</v>
      </c>
      <c r="F695" s="4" t="s">
        <v>1032</v>
      </c>
      <c r="G695" s="4">
        <v>8</v>
      </c>
      <c r="H695" s="4">
        <v>73798</v>
      </c>
      <c r="I695" s="4">
        <f t="shared" si="10"/>
        <v>590384</v>
      </c>
    </row>
    <row r="696" spans="1:9" x14ac:dyDescent="0.3">
      <c r="A696" s="1">
        <v>695</v>
      </c>
      <c r="B696" s="2" t="s">
        <v>707</v>
      </c>
      <c r="C696" s="3">
        <v>45621</v>
      </c>
      <c r="D696" s="4" t="s">
        <v>19</v>
      </c>
      <c r="E696" s="4" t="s">
        <v>9</v>
      </c>
      <c r="F696" s="4" t="s">
        <v>1028</v>
      </c>
      <c r="G696" s="4">
        <v>5</v>
      </c>
      <c r="H696" s="4">
        <v>27164</v>
      </c>
      <c r="I696" s="4">
        <f t="shared" si="10"/>
        <v>135820</v>
      </c>
    </row>
    <row r="697" spans="1:9" x14ac:dyDescent="0.3">
      <c r="A697" s="1">
        <v>696</v>
      </c>
      <c r="B697" s="2" t="s">
        <v>708</v>
      </c>
      <c r="C697" s="3">
        <v>45622</v>
      </c>
      <c r="D697" s="4" t="s">
        <v>5</v>
      </c>
      <c r="E697" s="4" t="s">
        <v>2</v>
      </c>
      <c r="F697" s="4" t="s">
        <v>1028</v>
      </c>
      <c r="G697" s="4">
        <v>9</v>
      </c>
      <c r="H697" s="4">
        <v>40595</v>
      </c>
      <c r="I697" s="4">
        <f t="shared" si="10"/>
        <v>365355</v>
      </c>
    </row>
    <row r="698" spans="1:9" x14ac:dyDescent="0.3">
      <c r="A698" s="1">
        <v>697</v>
      </c>
      <c r="B698" s="2" t="s">
        <v>709</v>
      </c>
      <c r="C698" s="3">
        <v>45623</v>
      </c>
      <c r="D698" s="4" t="s">
        <v>1</v>
      </c>
      <c r="E698" s="4" t="s">
        <v>9</v>
      </c>
      <c r="F698" s="4" t="s">
        <v>1032</v>
      </c>
      <c r="G698" s="4">
        <v>1</v>
      </c>
      <c r="H698" s="4">
        <v>35257</v>
      </c>
      <c r="I698" s="4">
        <f t="shared" si="10"/>
        <v>35257</v>
      </c>
    </row>
    <row r="699" spans="1:9" x14ac:dyDescent="0.3">
      <c r="A699" s="1">
        <v>698</v>
      </c>
      <c r="B699" s="2" t="s">
        <v>710</v>
      </c>
      <c r="C699" s="3">
        <v>45624</v>
      </c>
      <c r="D699" s="4" t="s">
        <v>19</v>
      </c>
      <c r="E699" s="4" t="s">
        <v>9</v>
      </c>
      <c r="F699" s="4" t="s">
        <v>1030</v>
      </c>
      <c r="G699" s="4">
        <v>4</v>
      </c>
      <c r="H699" s="4">
        <v>19211</v>
      </c>
      <c r="I699" s="4">
        <f t="shared" si="10"/>
        <v>76844</v>
      </c>
    </row>
    <row r="700" spans="1:9" x14ac:dyDescent="0.3">
      <c r="A700" s="1">
        <v>699</v>
      </c>
      <c r="B700" s="2" t="s">
        <v>711</v>
      </c>
      <c r="C700" s="3">
        <v>45625</v>
      </c>
      <c r="D700" s="4" t="s">
        <v>19</v>
      </c>
      <c r="E700" s="4" t="s">
        <v>11</v>
      </c>
      <c r="F700" s="4" t="s">
        <v>1030</v>
      </c>
      <c r="G700" s="4">
        <v>3</v>
      </c>
      <c r="H700" s="4">
        <v>10232</v>
      </c>
      <c r="I700" s="4">
        <f t="shared" si="10"/>
        <v>30696</v>
      </c>
    </row>
    <row r="701" spans="1:9" x14ac:dyDescent="0.3">
      <c r="A701" s="1">
        <v>700</v>
      </c>
      <c r="B701" s="2" t="s">
        <v>712</v>
      </c>
      <c r="C701" s="3">
        <v>45626</v>
      </c>
      <c r="D701" s="4" t="s">
        <v>1</v>
      </c>
      <c r="E701" s="4" t="s">
        <v>2</v>
      </c>
      <c r="F701" s="4" t="s">
        <v>1032</v>
      </c>
      <c r="G701" s="4">
        <v>2</v>
      </c>
      <c r="H701" s="4">
        <v>72753</v>
      </c>
      <c r="I701" s="4">
        <f t="shared" si="10"/>
        <v>145506</v>
      </c>
    </row>
    <row r="702" spans="1:9" x14ac:dyDescent="0.3">
      <c r="A702" s="1">
        <v>701</v>
      </c>
      <c r="B702" s="2" t="s">
        <v>713</v>
      </c>
      <c r="C702" s="3">
        <v>45627</v>
      </c>
      <c r="D702" s="4" t="s">
        <v>19</v>
      </c>
      <c r="E702" s="4" t="s">
        <v>11</v>
      </c>
      <c r="F702" s="4" t="s">
        <v>1023</v>
      </c>
      <c r="G702" s="4">
        <v>8</v>
      </c>
      <c r="H702" s="4">
        <v>57691</v>
      </c>
      <c r="I702" s="4">
        <f t="shared" si="10"/>
        <v>461528</v>
      </c>
    </row>
    <row r="703" spans="1:9" x14ac:dyDescent="0.3">
      <c r="A703" s="1">
        <v>702</v>
      </c>
      <c r="B703" s="2" t="s">
        <v>714</v>
      </c>
      <c r="C703" s="3">
        <v>45628</v>
      </c>
      <c r="D703" s="4" t="s">
        <v>5</v>
      </c>
      <c r="E703" s="4" t="s">
        <v>2</v>
      </c>
      <c r="F703" s="4" t="s">
        <v>1032</v>
      </c>
      <c r="G703" s="4">
        <v>9</v>
      </c>
      <c r="H703" s="4">
        <v>30613</v>
      </c>
      <c r="I703" s="4">
        <f t="shared" si="10"/>
        <v>275517</v>
      </c>
    </row>
    <row r="704" spans="1:9" x14ac:dyDescent="0.3">
      <c r="A704" s="1">
        <v>703</v>
      </c>
      <c r="B704" s="2" t="s">
        <v>715</v>
      </c>
      <c r="C704" s="3">
        <v>45629</v>
      </c>
      <c r="D704" s="4" t="s">
        <v>7</v>
      </c>
      <c r="E704" s="4" t="s">
        <v>1041</v>
      </c>
      <c r="F704" s="4" t="s">
        <v>1032</v>
      </c>
      <c r="G704" s="4">
        <v>2</v>
      </c>
      <c r="H704" s="4">
        <v>19026</v>
      </c>
      <c r="I704" s="4">
        <f t="shared" si="10"/>
        <v>38052</v>
      </c>
    </row>
    <row r="705" spans="1:9" x14ac:dyDescent="0.3">
      <c r="A705" s="1">
        <v>704</v>
      </c>
      <c r="B705" s="2" t="s">
        <v>716</v>
      </c>
      <c r="C705" s="3">
        <v>45630</v>
      </c>
      <c r="D705" s="4" t="s">
        <v>5</v>
      </c>
      <c r="E705" s="4" t="s">
        <v>2</v>
      </c>
      <c r="F705" s="4" t="s">
        <v>1030</v>
      </c>
      <c r="G705" s="4">
        <v>14</v>
      </c>
      <c r="H705" s="4">
        <v>58535</v>
      </c>
      <c r="I705" s="4">
        <f t="shared" si="10"/>
        <v>819490</v>
      </c>
    </row>
    <row r="706" spans="1:9" x14ac:dyDescent="0.3">
      <c r="A706" s="1">
        <v>705</v>
      </c>
      <c r="B706" s="2" t="s">
        <v>717</v>
      </c>
      <c r="C706" s="3">
        <v>45631</v>
      </c>
      <c r="D706" s="4" t="s">
        <v>7</v>
      </c>
      <c r="E706" s="4" t="s">
        <v>11</v>
      </c>
      <c r="F706" s="4" t="s">
        <v>1030</v>
      </c>
      <c r="G706" s="4">
        <v>14</v>
      </c>
      <c r="H706" s="4">
        <v>35908</v>
      </c>
      <c r="I706" s="4">
        <f t="shared" si="10"/>
        <v>502712</v>
      </c>
    </row>
    <row r="707" spans="1:9" x14ac:dyDescent="0.3">
      <c r="A707" s="1">
        <v>706</v>
      </c>
      <c r="B707" s="2" t="s">
        <v>718</v>
      </c>
      <c r="C707" s="3">
        <v>45632</v>
      </c>
      <c r="D707" s="4" t="s">
        <v>7</v>
      </c>
      <c r="E707" s="4" t="s">
        <v>9</v>
      </c>
      <c r="F707" s="4" t="s">
        <v>1032</v>
      </c>
      <c r="G707" s="4">
        <v>4</v>
      </c>
      <c r="H707" s="4">
        <v>57113</v>
      </c>
      <c r="I707" s="4">
        <f t="shared" ref="I707:I770" si="11">G707*H707</f>
        <v>228452</v>
      </c>
    </row>
    <row r="708" spans="1:9" x14ac:dyDescent="0.3">
      <c r="A708" s="1">
        <v>707</v>
      </c>
      <c r="B708" s="2" t="s">
        <v>719</v>
      </c>
      <c r="C708" s="3">
        <v>45633</v>
      </c>
      <c r="D708" s="4" t="s">
        <v>5</v>
      </c>
      <c r="E708" s="4" t="s">
        <v>2</v>
      </c>
      <c r="F708" s="4" t="s">
        <v>1032</v>
      </c>
      <c r="G708" s="4">
        <v>6</v>
      </c>
      <c r="H708" s="4">
        <v>24610</v>
      </c>
      <c r="I708" s="4">
        <f t="shared" si="11"/>
        <v>147660</v>
      </c>
    </row>
    <row r="709" spans="1:9" x14ac:dyDescent="0.3">
      <c r="A709" s="1">
        <v>708</v>
      </c>
      <c r="B709" s="2" t="s">
        <v>720</v>
      </c>
      <c r="C709" s="3">
        <v>45634</v>
      </c>
      <c r="D709" s="4" t="s">
        <v>5</v>
      </c>
      <c r="E709" s="4" t="s">
        <v>2</v>
      </c>
      <c r="F709" s="4" t="s">
        <v>1032</v>
      </c>
      <c r="G709" s="4">
        <v>11</v>
      </c>
      <c r="H709" s="4">
        <v>51646</v>
      </c>
      <c r="I709" s="4">
        <f t="shared" si="11"/>
        <v>568106</v>
      </c>
    </row>
    <row r="710" spans="1:9" x14ac:dyDescent="0.3">
      <c r="A710" s="1">
        <v>709</v>
      </c>
      <c r="B710" s="2" t="s">
        <v>721</v>
      </c>
      <c r="C710" s="3">
        <v>45635</v>
      </c>
      <c r="D710" s="4" t="s">
        <v>5</v>
      </c>
      <c r="E710" s="4" t="s">
        <v>20</v>
      </c>
      <c r="F710" s="4" t="s">
        <v>1030</v>
      </c>
      <c r="G710" s="4">
        <v>3</v>
      </c>
      <c r="H710" s="4">
        <v>68185</v>
      </c>
      <c r="I710" s="4">
        <f t="shared" si="11"/>
        <v>204555</v>
      </c>
    </row>
    <row r="711" spans="1:9" x14ac:dyDescent="0.3">
      <c r="A711" s="1">
        <v>710</v>
      </c>
      <c r="B711" s="2" t="s">
        <v>722</v>
      </c>
      <c r="C711" s="3">
        <v>45636</v>
      </c>
      <c r="D711" s="4" t="s">
        <v>5</v>
      </c>
      <c r="E711" s="4" t="s">
        <v>9</v>
      </c>
      <c r="F711" s="4" t="s">
        <v>1032</v>
      </c>
      <c r="G711" s="4">
        <v>8</v>
      </c>
      <c r="H711" s="4">
        <v>52574</v>
      </c>
      <c r="I711" s="4">
        <f t="shared" si="11"/>
        <v>420592</v>
      </c>
    </row>
    <row r="712" spans="1:9" x14ac:dyDescent="0.3">
      <c r="A712" s="1">
        <v>711</v>
      </c>
      <c r="B712" s="2" t="s">
        <v>723</v>
      </c>
      <c r="C712" s="3">
        <v>45637</v>
      </c>
      <c r="D712" s="4" t="s">
        <v>1</v>
      </c>
      <c r="E712" s="4" t="s">
        <v>1041</v>
      </c>
      <c r="F712" s="4" t="s">
        <v>1032</v>
      </c>
      <c r="G712" s="4">
        <v>3</v>
      </c>
      <c r="H712" s="4">
        <v>41182</v>
      </c>
      <c r="I712" s="4">
        <f t="shared" si="11"/>
        <v>123546</v>
      </c>
    </row>
    <row r="713" spans="1:9" x14ac:dyDescent="0.3">
      <c r="A713" s="1">
        <v>712</v>
      </c>
      <c r="B713" s="2" t="s">
        <v>724</v>
      </c>
      <c r="C713" s="3">
        <v>45638</v>
      </c>
      <c r="D713" s="4" t="s">
        <v>19</v>
      </c>
      <c r="E713" s="4" t="s">
        <v>11</v>
      </c>
      <c r="F713" s="4" t="s">
        <v>1027</v>
      </c>
      <c r="G713" s="4">
        <v>14</v>
      </c>
      <c r="H713" s="4">
        <v>5570</v>
      </c>
      <c r="I713" s="4">
        <f t="shared" si="11"/>
        <v>77980</v>
      </c>
    </row>
    <row r="714" spans="1:9" x14ac:dyDescent="0.3">
      <c r="A714" s="1">
        <v>713</v>
      </c>
      <c r="B714" s="2" t="s">
        <v>725</v>
      </c>
      <c r="C714" s="3">
        <v>45639</v>
      </c>
      <c r="D714" s="4" t="s">
        <v>7</v>
      </c>
      <c r="E714" s="4" t="s">
        <v>1041</v>
      </c>
      <c r="F714" s="4" t="s">
        <v>1023</v>
      </c>
      <c r="G714" s="4">
        <v>13</v>
      </c>
      <c r="H714" s="4">
        <v>24288</v>
      </c>
      <c r="I714" s="4">
        <f t="shared" si="11"/>
        <v>315744</v>
      </c>
    </row>
    <row r="715" spans="1:9" x14ac:dyDescent="0.3">
      <c r="A715" s="1">
        <v>714</v>
      </c>
      <c r="B715" s="2" t="s">
        <v>726</v>
      </c>
      <c r="C715" s="3">
        <v>45640</v>
      </c>
      <c r="D715" s="4" t="s">
        <v>5</v>
      </c>
      <c r="E715" s="4" t="s">
        <v>9</v>
      </c>
      <c r="F715" s="4" t="s">
        <v>1025</v>
      </c>
      <c r="G715" s="4">
        <v>13</v>
      </c>
      <c r="H715" s="4">
        <v>34877</v>
      </c>
      <c r="I715" s="4">
        <f t="shared" si="11"/>
        <v>453401</v>
      </c>
    </row>
    <row r="716" spans="1:9" x14ac:dyDescent="0.3">
      <c r="A716" s="1">
        <v>715</v>
      </c>
      <c r="B716" s="2" t="s">
        <v>727</v>
      </c>
      <c r="C716" s="3">
        <v>45641</v>
      </c>
      <c r="D716" s="4" t="s">
        <v>5</v>
      </c>
      <c r="E716" s="4" t="s">
        <v>2</v>
      </c>
      <c r="F716" s="4" t="s">
        <v>1023</v>
      </c>
      <c r="G716" s="4">
        <v>2</v>
      </c>
      <c r="H716" s="4">
        <v>5917</v>
      </c>
      <c r="I716" s="4">
        <f t="shared" si="11"/>
        <v>11834</v>
      </c>
    </row>
    <row r="717" spans="1:9" x14ac:dyDescent="0.3">
      <c r="A717" s="1">
        <v>716</v>
      </c>
      <c r="B717" s="2" t="s">
        <v>728</v>
      </c>
      <c r="C717" s="3">
        <v>45642</v>
      </c>
      <c r="D717" s="4" t="s">
        <v>5</v>
      </c>
      <c r="E717" s="4" t="s">
        <v>2</v>
      </c>
      <c r="F717" s="4" t="s">
        <v>1027</v>
      </c>
      <c r="G717" s="4">
        <v>13</v>
      </c>
      <c r="H717" s="4">
        <v>69575</v>
      </c>
      <c r="I717" s="4">
        <f t="shared" si="11"/>
        <v>904475</v>
      </c>
    </row>
    <row r="718" spans="1:9" x14ac:dyDescent="0.3">
      <c r="A718" s="1">
        <v>717</v>
      </c>
      <c r="B718" s="2" t="s">
        <v>729</v>
      </c>
      <c r="C718" s="3">
        <v>45643</v>
      </c>
      <c r="D718" s="4" t="s">
        <v>1</v>
      </c>
      <c r="E718" s="4" t="s">
        <v>9</v>
      </c>
      <c r="F718" s="4" t="s">
        <v>1025</v>
      </c>
      <c r="G718" s="4">
        <v>19</v>
      </c>
      <c r="H718" s="4">
        <v>44104</v>
      </c>
      <c r="I718" s="4">
        <f t="shared" si="11"/>
        <v>837976</v>
      </c>
    </row>
    <row r="719" spans="1:9" x14ac:dyDescent="0.3">
      <c r="A719" s="1">
        <v>718</v>
      </c>
      <c r="B719" s="2" t="s">
        <v>730</v>
      </c>
      <c r="C719" s="3">
        <v>45644</v>
      </c>
      <c r="D719" s="4" t="s">
        <v>5</v>
      </c>
      <c r="E719" s="4" t="s">
        <v>2</v>
      </c>
      <c r="F719" s="4" t="s">
        <v>1032</v>
      </c>
      <c r="G719" s="4">
        <v>6</v>
      </c>
      <c r="H719" s="4">
        <v>23062</v>
      </c>
      <c r="I719" s="4">
        <f t="shared" si="11"/>
        <v>138372</v>
      </c>
    </row>
    <row r="720" spans="1:9" x14ac:dyDescent="0.3">
      <c r="A720" s="1">
        <v>719</v>
      </c>
      <c r="B720" s="2" t="s">
        <v>731</v>
      </c>
      <c r="C720" s="3">
        <v>45645</v>
      </c>
      <c r="D720" s="4" t="s">
        <v>5</v>
      </c>
      <c r="E720" s="4" t="s">
        <v>2</v>
      </c>
      <c r="F720" s="4" t="s">
        <v>1027</v>
      </c>
      <c r="G720" s="4">
        <v>16</v>
      </c>
      <c r="H720" s="4">
        <v>21999</v>
      </c>
      <c r="I720" s="4">
        <f t="shared" si="11"/>
        <v>351984</v>
      </c>
    </row>
    <row r="721" spans="1:9" x14ac:dyDescent="0.3">
      <c r="A721" s="1">
        <v>720</v>
      </c>
      <c r="B721" s="2" t="s">
        <v>732</v>
      </c>
      <c r="C721" s="3">
        <v>45646</v>
      </c>
      <c r="D721" s="4" t="s">
        <v>5</v>
      </c>
      <c r="E721" s="4" t="s">
        <v>2</v>
      </c>
      <c r="F721" s="4" t="s">
        <v>1032</v>
      </c>
      <c r="G721" s="4">
        <v>2</v>
      </c>
      <c r="H721" s="4">
        <v>66845</v>
      </c>
      <c r="I721" s="4">
        <f t="shared" si="11"/>
        <v>133690</v>
      </c>
    </row>
    <row r="722" spans="1:9" x14ac:dyDescent="0.3">
      <c r="A722" s="1">
        <v>721</v>
      </c>
      <c r="B722" s="2" t="s">
        <v>733</v>
      </c>
      <c r="C722" s="3">
        <v>45647</v>
      </c>
      <c r="D722" s="4" t="s">
        <v>19</v>
      </c>
      <c r="E722" s="4" t="s">
        <v>11</v>
      </c>
      <c r="F722" s="4" t="s">
        <v>1030</v>
      </c>
      <c r="G722" s="4">
        <v>8</v>
      </c>
      <c r="H722" s="4">
        <v>14941</v>
      </c>
      <c r="I722" s="4">
        <f t="shared" si="11"/>
        <v>119528</v>
      </c>
    </row>
    <row r="723" spans="1:9" x14ac:dyDescent="0.3">
      <c r="A723" s="1">
        <v>722</v>
      </c>
      <c r="B723" s="2" t="s">
        <v>734</v>
      </c>
      <c r="C723" s="3">
        <v>45648</v>
      </c>
      <c r="D723" s="4" t="s">
        <v>1</v>
      </c>
      <c r="E723" s="4" t="s">
        <v>11</v>
      </c>
      <c r="F723" s="4" t="s">
        <v>1028</v>
      </c>
      <c r="G723" s="4">
        <v>17</v>
      </c>
      <c r="H723" s="4">
        <v>66169</v>
      </c>
      <c r="I723" s="4">
        <f t="shared" si="11"/>
        <v>1124873</v>
      </c>
    </row>
    <row r="724" spans="1:9" x14ac:dyDescent="0.3">
      <c r="A724" s="1">
        <v>723</v>
      </c>
      <c r="B724" s="2" t="s">
        <v>735</v>
      </c>
      <c r="C724" s="3">
        <v>45649</v>
      </c>
      <c r="D724" s="4" t="s">
        <v>5</v>
      </c>
      <c r="E724" s="4" t="s">
        <v>20</v>
      </c>
      <c r="F724" s="4" t="s">
        <v>1027</v>
      </c>
      <c r="G724" s="4">
        <v>2</v>
      </c>
      <c r="H724" s="4">
        <v>28470</v>
      </c>
      <c r="I724" s="4">
        <f t="shared" si="11"/>
        <v>56940</v>
      </c>
    </row>
    <row r="725" spans="1:9" x14ac:dyDescent="0.3">
      <c r="A725" s="1">
        <v>724</v>
      </c>
      <c r="B725" s="2" t="s">
        <v>736</v>
      </c>
      <c r="C725" s="3">
        <v>45650</v>
      </c>
      <c r="D725" s="4" t="s">
        <v>7</v>
      </c>
      <c r="E725" s="4" t="s">
        <v>1041</v>
      </c>
      <c r="F725" s="4" t="s">
        <v>1030</v>
      </c>
      <c r="G725" s="4">
        <v>10</v>
      </c>
      <c r="H725" s="4">
        <v>64821</v>
      </c>
      <c r="I725" s="4">
        <f t="shared" si="11"/>
        <v>648210</v>
      </c>
    </row>
    <row r="726" spans="1:9" x14ac:dyDescent="0.3">
      <c r="A726" s="1">
        <v>725</v>
      </c>
      <c r="B726" s="2" t="s">
        <v>737</v>
      </c>
      <c r="C726" s="3">
        <v>45651</v>
      </c>
      <c r="D726" s="4" t="s">
        <v>7</v>
      </c>
      <c r="E726" s="4" t="s">
        <v>9</v>
      </c>
      <c r="F726" s="4" t="s">
        <v>1030</v>
      </c>
      <c r="G726" s="4">
        <v>16</v>
      </c>
      <c r="H726" s="4">
        <v>49435</v>
      </c>
      <c r="I726" s="4">
        <f t="shared" si="11"/>
        <v>790960</v>
      </c>
    </row>
    <row r="727" spans="1:9" x14ac:dyDescent="0.3">
      <c r="A727" s="1">
        <v>726</v>
      </c>
      <c r="B727" s="2" t="s">
        <v>738</v>
      </c>
      <c r="C727" s="3">
        <v>45652</v>
      </c>
      <c r="D727" s="4" t="s">
        <v>7</v>
      </c>
      <c r="E727" s="4" t="s">
        <v>9</v>
      </c>
      <c r="F727" s="4" t="s">
        <v>1025</v>
      </c>
      <c r="G727" s="4">
        <v>6</v>
      </c>
      <c r="H727" s="4">
        <v>9529</v>
      </c>
      <c r="I727" s="4">
        <f t="shared" si="11"/>
        <v>57174</v>
      </c>
    </row>
    <row r="728" spans="1:9" x14ac:dyDescent="0.3">
      <c r="A728" s="1">
        <v>727</v>
      </c>
      <c r="B728" s="2" t="s">
        <v>739</v>
      </c>
      <c r="C728" s="3">
        <v>45653</v>
      </c>
      <c r="D728" s="4" t="s">
        <v>1</v>
      </c>
      <c r="E728" s="4" t="s">
        <v>9</v>
      </c>
      <c r="F728" s="4" t="s">
        <v>1030</v>
      </c>
      <c r="G728" s="4">
        <v>2</v>
      </c>
      <c r="H728" s="4">
        <v>17192</v>
      </c>
      <c r="I728" s="4">
        <f t="shared" si="11"/>
        <v>34384</v>
      </c>
    </row>
    <row r="729" spans="1:9" x14ac:dyDescent="0.3">
      <c r="A729" s="1">
        <v>728</v>
      </c>
      <c r="B729" s="2" t="s">
        <v>740</v>
      </c>
      <c r="C729" s="3">
        <v>45654</v>
      </c>
      <c r="D729" s="4" t="s">
        <v>1</v>
      </c>
      <c r="E729" s="4" t="s">
        <v>20</v>
      </c>
      <c r="F729" s="4" t="s">
        <v>1025</v>
      </c>
      <c r="G729" s="4">
        <v>2</v>
      </c>
      <c r="H729" s="4">
        <v>39087</v>
      </c>
      <c r="I729" s="4">
        <f t="shared" si="11"/>
        <v>78174</v>
      </c>
    </row>
    <row r="730" spans="1:9" x14ac:dyDescent="0.3">
      <c r="A730" s="1">
        <v>729</v>
      </c>
      <c r="B730" s="2" t="s">
        <v>741</v>
      </c>
      <c r="C730" s="3">
        <v>45655</v>
      </c>
      <c r="D730" s="4" t="s">
        <v>7</v>
      </c>
      <c r="E730" s="4" t="s">
        <v>11</v>
      </c>
      <c r="F730" s="4" t="s">
        <v>1023</v>
      </c>
      <c r="G730" s="4">
        <v>13</v>
      </c>
      <c r="H730" s="4">
        <v>71677</v>
      </c>
      <c r="I730" s="4">
        <f t="shared" si="11"/>
        <v>931801</v>
      </c>
    </row>
    <row r="731" spans="1:9" x14ac:dyDescent="0.3">
      <c r="A731" s="1">
        <v>730</v>
      </c>
      <c r="B731" s="2" t="s">
        <v>742</v>
      </c>
      <c r="C731" s="3">
        <v>45656</v>
      </c>
      <c r="D731" s="4" t="s">
        <v>5</v>
      </c>
      <c r="E731" s="4" t="s">
        <v>20</v>
      </c>
      <c r="F731" s="4" t="s">
        <v>1032</v>
      </c>
      <c r="G731" s="4">
        <v>15</v>
      </c>
      <c r="H731" s="4">
        <v>9627</v>
      </c>
      <c r="I731" s="4">
        <f t="shared" si="11"/>
        <v>144405</v>
      </c>
    </row>
    <row r="732" spans="1:9" x14ac:dyDescent="0.3">
      <c r="A732" s="1">
        <v>731</v>
      </c>
      <c r="B732" s="2" t="s">
        <v>743</v>
      </c>
      <c r="C732" s="3">
        <v>45657</v>
      </c>
      <c r="D732" s="4" t="s">
        <v>1</v>
      </c>
      <c r="E732" s="4" t="s">
        <v>9</v>
      </c>
      <c r="F732" s="4" t="s">
        <v>1027</v>
      </c>
      <c r="G732" s="4">
        <v>2</v>
      </c>
      <c r="H732" s="4">
        <v>61541</v>
      </c>
      <c r="I732" s="4">
        <f t="shared" si="11"/>
        <v>123082</v>
      </c>
    </row>
    <row r="733" spans="1:9" x14ac:dyDescent="0.3">
      <c r="A733" s="1">
        <v>732</v>
      </c>
      <c r="B733" s="2" t="s">
        <v>744</v>
      </c>
      <c r="C733" s="3">
        <v>45658</v>
      </c>
      <c r="D733" s="4" t="s">
        <v>7</v>
      </c>
      <c r="E733" s="4" t="s">
        <v>1041</v>
      </c>
      <c r="F733" s="4" t="s">
        <v>1032</v>
      </c>
      <c r="G733" s="4">
        <v>7</v>
      </c>
      <c r="H733" s="4">
        <v>73226</v>
      </c>
      <c r="I733" s="4">
        <f t="shared" si="11"/>
        <v>512582</v>
      </c>
    </row>
    <row r="734" spans="1:9" x14ac:dyDescent="0.3">
      <c r="A734" s="1">
        <v>733</v>
      </c>
      <c r="B734" s="2" t="s">
        <v>745</v>
      </c>
      <c r="C734" s="3">
        <v>45659</v>
      </c>
      <c r="D734" s="4" t="s">
        <v>7</v>
      </c>
      <c r="E734" s="4" t="s">
        <v>2</v>
      </c>
      <c r="F734" s="4" t="s">
        <v>1028</v>
      </c>
      <c r="G734" s="4">
        <v>3</v>
      </c>
      <c r="H734" s="4">
        <v>8255</v>
      </c>
      <c r="I734" s="4">
        <f t="shared" si="11"/>
        <v>24765</v>
      </c>
    </row>
    <row r="735" spans="1:9" x14ac:dyDescent="0.3">
      <c r="A735" s="1">
        <v>734</v>
      </c>
      <c r="B735" s="2" t="s">
        <v>746</v>
      </c>
      <c r="C735" s="3">
        <v>45660</v>
      </c>
      <c r="D735" s="4" t="s">
        <v>5</v>
      </c>
      <c r="E735" s="4" t="s">
        <v>11</v>
      </c>
      <c r="F735" s="4" t="s">
        <v>1030</v>
      </c>
      <c r="G735" s="4">
        <v>8</v>
      </c>
      <c r="H735" s="4">
        <v>62433</v>
      </c>
      <c r="I735" s="4">
        <f t="shared" si="11"/>
        <v>499464</v>
      </c>
    </row>
    <row r="736" spans="1:9" x14ac:dyDescent="0.3">
      <c r="A736" s="1">
        <v>735</v>
      </c>
      <c r="B736" s="2" t="s">
        <v>747</v>
      </c>
      <c r="C736" s="3">
        <v>45661</v>
      </c>
      <c r="D736" s="4" t="s">
        <v>19</v>
      </c>
      <c r="E736" s="4" t="s">
        <v>11</v>
      </c>
      <c r="F736" s="4" t="s">
        <v>1032</v>
      </c>
      <c r="G736" s="4">
        <v>14</v>
      </c>
      <c r="H736" s="4">
        <v>10213</v>
      </c>
      <c r="I736" s="4">
        <f t="shared" si="11"/>
        <v>142982</v>
      </c>
    </row>
    <row r="737" spans="1:9" x14ac:dyDescent="0.3">
      <c r="A737" s="1">
        <v>736</v>
      </c>
      <c r="B737" s="2" t="s">
        <v>748</v>
      </c>
      <c r="C737" s="3">
        <v>45662</v>
      </c>
      <c r="D737" s="4" t="s">
        <v>1</v>
      </c>
      <c r="E737" s="4" t="s">
        <v>20</v>
      </c>
      <c r="F737" s="4" t="s">
        <v>1030</v>
      </c>
      <c r="G737" s="4">
        <v>7</v>
      </c>
      <c r="H737" s="4">
        <v>24404</v>
      </c>
      <c r="I737" s="4">
        <f t="shared" si="11"/>
        <v>170828</v>
      </c>
    </row>
    <row r="738" spans="1:9" x14ac:dyDescent="0.3">
      <c r="A738" s="1">
        <v>737</v>
      </c>
      <c r="B738" s="2" t="s">
        <v>749</v>
      </c>
      <c r="C738" s="3">
        <v>45663</v>
      </c>
      <c r="D738" s="4" t="s">
        <v>5</v>
      </c>
      <c r="E738" s="4" t="s">
        <v>11</v>
      </c>
      <c r="F738" s="4" t="s">
        <v>1032</v>
      </c>
      <c r="G738" s="4">
        <v>7</v>
      </c>
      <c r="H738" s="4">
        <v>30380</v>
      </c>
      <c r="I738" s="4">
        <f t="shared" si="11"/>
        <v>212660</v>
      </c>
    </row>
    <row r="739" spans="1:9" x14ac:dyDescent="0.3">
      <c r="A739" s="1">
        <v>738</v>
      </c>
      <c r="B739" s="2" t="s">
        <v>750</v>
      </c>
      <c r="C739" s="3">
        <v>45664</v>
      </c>
      <c r="D739" s="4" t="s">
        <v>7</v>
      </c>
      <c r="E739" s="4" t="s">
        <v>9</v>
      </c>
      <c r="F739" s="4" t="s">
        <v>1023</v>
      </c>
      <c r="G739" s="4">
        <v>1</v>
      </c>
      <c r="H739" s="4">
        <v>24173</v>
      </c>
      <c r="I739" s="4">
        <f t="shared" si="11"/>
        <v>24173</v>
      </c>
    </row>
    <row r="740" spans="1:9" x14ac:dyDescent="0.3">
      <c r="A740" s="1">
        <v>739</v>
      </c>
      <c r="B740" s="2" t="s">
        <v>751</v>
      </c>
      <c r="C740" s="3">
        <v>45665</v>
      </c>
      <c r="D740" s="4" t="s">
        <v>7</v>
      </c>
      <c r="E740" s="4" t="s">
        <v>9</v>
      </c>
      <c r="F740" s="4" t="s">
        <v>1023</v>
      </c>
      <c r="G740" s="4">
        <v>17</v>
      </c>
      <c r="H740" s="4">
        <v>58027</v>
      </c>
      <c r="I740" s="4">
        <f t="shared" si="11"/>
        <v>986459</v>
      </c>
    </row>
    <row r="741" spans="1:9" x14ac:dyDescent="0.3">
      <c r="A741" s="1">
        <v>740</v>
      </c>
      <c r="B741" s="2" t="s">
        <v>752</v>
      </c>
      <c r="C741" s="3">
        <v>45666</v>
      </c>
      <c r="D741" s="4" t="s">
        <v>5</v>
      </c>
      <c r="E741" s="4" t="s">
        <v>20</v>
      </c>
      <c r="F741" s="4" t="s">
        <v>1023</v>
      </c>
      <c r="G741" s="4">
        <v>9</v>
      </c>
      <c r="H741" s="4">
        <v>28989</v>
      </c>
      <c r="I741" s="4">
        <f t="shared" si="11"/>
        <v>260901</v>
      </c>
    </row>
    <row r="742" spans="1:9" x14ac:dyDescent="0.3">
      <c r="A742" s="1">
        <v>741</v>
      </c>
      <c r="B742" s="2" t="s">
        <v>753</v>
      </c>
      <c r="C742" s="3">
        <v>45667</v>
      </c>
      <c r="D742" s="4" t="s">
        <v>1</v>
      </c>
      <c r="E742" s="4" t="s">
        <v>9</v>
      </c>
      <c r="F742" s="4" t="s">
        <v>1023</v>
      </c>
      <c r="G742" s="4">
        <v>13</v>
      </c>
      <c r="H742" s="4">
        <v>29519</v>
      </c>
      <c r="I742" s="4">
        <f t="shared" si="11"/>
        <v>383747</v>
      </c>
    </row>
    <row r="743" spans="1:9" x14ac:dyDescent="0.3">
      <c r="A743" s="1">
        <v>742</v>
      </c>
      <c r="B743" s="2" t="s">
        <v>754</v>
      </c>
      <c r="C743" s="3">
        <v>45668</v>
      </c>
      <c r="D743" s="4" t="s">
        <v>19</v>
      </c>
      <c r="E743" s="4" t="s">
        <v>1041</v>
      </c>
      <c r="F743" s="4" t="s">
        <v>1023</v>
      </c>
      <c r="G743" s="4">
        <v>19</v>
      </c>
      <c r="H743" s="4">
        <v>27439</v>
      </c>
      <c r="I743" s="4">
        <f t="shared" si="11"/>
        <v>521341</v>
      </c>
    </row>
    <row r="744" spans="1:9" x14ac:dyDescent="0.3">
      <c r="A744" s="1">
        <v>743</v>
      </c>
      <c r="B744" s="2" t="s">
        <v>755</v>
      </c>
      <c r="C744" s="3">
        <v>45669</v>
      </c>
      <c r="D744" s="4" t="s">
        <v>19</v>
      </c>
      <c r="E744" s="4" t="s">
        <v>20</v>
      </c>
      <c r="F744" s="4" t="s">
        <v>1023</v>
      </c>
      <c r="G744" s="4">
        <v>19</v>
      </c>
      <c r="H744" s="4">
        <v>19995</v>
      </c>
      <c r="I744" s="4">
        <f t="shared" si="11"/>
        <v>379905</v>
      </c>
    </row>
    <row r="745" spans="1:9" x14ac:dyDescent="0.3">
      <c r="A745" s="1">
        <v>744</v>
      </c>
      <c r="B745" s="2" t="s">
        <v>756</v>
      </c>
      <c r="C745" s="3">
        <v>45670</v>
      </c>
      <c r="D745" s="4" t="s">
        <v>7</v>
      </c>
      <c r="E745" s="4" t="s">
        <v>1041</v>
      </c>
      <c r="F745" s="4" t="s">
        <v>1030</v>
      </c>
      <c r="G745" s="4">
        <v>17</v>
      </c>
      <c r="H745" s="4">
        <v>28559</v>
      </c>
      <c r="I745" s="4">
        <f t="shared" si="11"/>
        <v>485503</v>
      </c>
    </row>
    <row r="746" spans="1:9" x14ac:dyDescent="0.3">
      <c r="A746" s="1">
        <v>745</v>
      </c>
      <c r="B746" s="2" t="s">
        <v>757</v>
      </c>
      <c r="C746" s="3">
        <v>45671</v>
      </c>
      <c r="D746" s="4" t="s">
        <v>1</v>
      </c>
      <c r="E746" s="4" t="s">
        <v>2</v>
      </c>
      <c r="F746" s="4" t="s">
        <v>1027</v>
      </c>
      <c r="G746" s="4">
        <v>10</v>
      </c>
      <c r="H746" s="4">
        <v>10021</v>
      </c>
      <c r="I746" s="4">
        <f t="shared" si="11"/>
        <v>100210</v>
      </c>
    </row>
    <row r="747" spans="1:9" x14ac:dyDescent="0.3">
      <c r="A747" s="1">
        <v>746</v>
      </c>
      <c r="B747" s="2" t="s">
        <v>758</v>
      </c>
      <c r="C747" s="3">
        <v>45672</v>
      </c>
      <c r="D747" s="4" t="s">
        <v>19</v>
      </c>
      <c r="E747" s="4" t="s">
        <v>1041</v>
      </c>
      <c r="F747" s="4" t="s">
        <v>1032</v>
      </c>
      <c r="G747" s="4">
        <v>10</v>
      </c>
      <c r="H747" s="4">
        <v>26119</v>
      </c>
      <c r="I747" s="4">
        <f t="shared" si="11"/>
        <v>261190</v>
      </c>
    </row>
    <row r="748" spans="1:9" x14ac:dyDescent="0.3">
      <c r="A748" s="1">
        <v>747</v>
      </c>
      <c r="B748" s="2" t="s">
        <v>759</v>
      </c>
      <c r="C748" s="3">
        <v>45673</v>
      </c>
      <c r="D748" s="4" t="s">
        <v>1</v>
      </c>
      <c r="E748" s="4" t="s">
        <v>2</v>
      </c>
      <c r="F748" s="4" t="s">
        <v>1023</v>
      </c>
      <c r="G748" s="4">
        <v>4</v>
      </c>
      <c r="H748" s="4">
        <v>56539</v>
      </c>
      <c r="I748" s="4">
        <f t="shared" si="11"/>
        <v>226156</v>
      </c>
    </row>
    <row r="749" spans="1:9" x14ac:dyDescent="0.3">
      <c r="A749" s="1">
        <v>748</v>
      </c>
      <c r="B749" s="2" t="s">
        <v>760</v>
      </c>
      <c r="C749" s="3">
        <v>45674</v>
      </c>
      <c r="D749" s="4" t="s">
        <v>1</v>
      </c>
      <c r="E749" s="4" t="s">
        <v>2</v>
      </c>
      <c r="F749" s="4" t="s">
        <v>1030</v>
      </c>
      <c r="G749" s="4">
        <v>8</v>
      </c>
      <c r="H749" s="4">
        <v>44350</v>
      </c>
      <c r="I749" s="4">
        <f t="shared" si="11"/>
        <v>354800</v>
      </c>
    </row>
    <row r="750" spans="1:9" x14ac:dyDescent="0.3">
      <c r="A750" s="1">
        <v>749</v>
      </c>
      <c r="B750" s="2" t="s">
        <v>761</v>
      </c>
      <c r="C750" s="3">
        <v>45675</v>
      </c>
      <c r="D750" s="4" t="s">
        <v>7</v>
      </c>
      <c r="E750" s="4" t="s">
        <v>1041</v>
      </c>
      <c r="F750" s="4" t="s">
        <v>1030</v>
      </c>
      <c r="G750" s="4">
        <v>18</v>
      </c>
      <c r="H750" s="4">
        <v>51223</v>
      </c>
      <c r="I750" s="4">
        <f t="shared" si="11"/>
        <v>922014</v>
      </c>
    </row>
    <row r="751" spans="1:9" x14ac:dyDescent="0.3">
      <c r="A751" s="1">
        <v>750</v>
      </c>
      <c r="B751" s="2" t="s">
        <v>762</v>
      </c>
      <c r="C751" s="3">
        <v>45676</v>
      </c>
      <c r="D751" s="4" t="s">
        <v>19</v>
      </c>
      <c r="E751" s="4" t="s">
        <v>20</v>
      </c>
      <c r="F751" s="4" t="s">
        <v>1030</v>
      </c>
      <c r="G751" s="4">
        <v>14</v>
      </c>
      <c r="H751" s="4">
        <v>30517</v>
      </c>
      <c r="I751" s="4">
        <f t="shared" si="11"/>
        <v>427238</v>
      </c>
    </row>
    <row r="752" spans="1:9" x14ac:dyDescent="0.3">
      <c r="A752" s="1">
        <v>751</v>
      </c>
      <c r="B752" s="2" t="s">
        <v>763</v>
      </c>
      <c r="C752" s="3">
        <v>45677</v>
      </c>
      <c r="D752" s="4" t="s">
        <v>5</v>
      </c>
      <c r="E752" s="4" t="s">
        <v>9</v>
      </c>
      <c r="F752" s="4" t="s">
        <v>1027</v>
      </c>
      <c r="G752" s="4">
        <v>18</v>
      </c>
      <c r="H752" s="4">
        <v>27250</v>
      </c>
      <c r="I752" s="4">
        <f t="shared" si="11"/>
        <v>490500</v>
      </c>
    </row>
    <row r="753" spans="1:9" x14ac:dyDescent="0.3">
      <c r="A753" s="1">
        <v>752</v>
      </c>
      <c r="B753" s="2" t="s">
        <v>764</v>
      </c>
      <c r="C753" s="3">
        <v>45678</v>
      </c>
      <c r="D753" s="4" t="s">
        <v>7</v>
      </c>
      <c r="E753" s="4" t="s">
        <v>9</v>
      </c>
      <c r="F753" s="4" t="s">
        <v>1032</v>
      </c>
      <c r="G753" s="4">
        <v>14</v>
      </c>
      <c r="H753" s="4">
        <v>71798</v>
      </c>
      <c r="I753" s="4">
        <f t="shared" si="11"/>
        <v>1005172</v>
      </c>
    </row>
    <row r="754" spans="1:9" x14ac:dyDescent="0.3">
      <c r="A754" s="1">
        <v>753</v>
      </c>
      <c r="B754" s="2" t="s">
        <v>765</v>
      </c>
      <c r="C754" s="3">
        <v>45679</v>
      </c>
      <c r="D754" s="4" t="s">
        <v>19</v>
      </c>
      <c r="E754" s="4" t="s">
        <v>2</v>
      </c>
      <c r="F754" s="4" t="s">
        <v>1027</v>
      </c>
      <c r="G754" s="4">
        <v>15</v>
      </c>
      <c r="H754" s="4">
        <v>59199</v>
      </c>
      <c r="I754" s="4">
        <f t="shared" si="11"/>
        <v>887985</v>
      </c>
    </row>
    <row r="755" spans="1:9" x14ac:dyDescent="0.3">
      <c r="A755" s="1">
        <v>754</v>
      </c>
      <c r="B755" s="2" t="s">
        <v>766</v>
      </c>
      <c r="C755" s="3">
        <v>45680</v>
      </c>
      <c r="D755" s="4" t="s">
        <v>19</v>
      </c>
      <c r="E755" s="4" t="s">
        <v>2</v>
      </c>
      <c r="F755" s="4" t="s">
        <v>1025</v>
      </c>
      <c r="G755" s="4">
        <v>4</v>
      </c>
      <c r="H755" s="4">
        <v>64546</v>
      </c>
      <c r="I755" s="4">
        <f t="shared" si="11"/>
        <v>258184</v>
      </c>
    </row>
    <row r="756" spans="1:9" x14ac:dyDescent="0.3">
      <c r="A756" s="1">
        <v>755</v>
      </c>
      <c r="B756" s="2" t="s">
        <v>767</v>
      </c>
      <c r="C756" s="3">
        <v>45681</v>
      </c>
      <c r="D756" s="4" t="s">
        <v>19</v>
      </c>
      <c r="E756" s="4" t="s">
        <v>20</v>
      </c>
      <c r="F756" s="4" t="s">
        <v>1030</v>
      </c>
      <c r="G756" s="4">
        <v>13</v>
      </c>
      <c r="H756" s="4">
        <v>8327</v>
      </c>
      <c r="I756" s="4">
        <f t="shared" si="11"/>
        <v>108251</v>
      </c>
    </row>
    <row r="757" spans="1:9" x14ac:dyDescent="0.3">
      <c r="A757" s="1">
        <v>756</v>
      </c>
      <c r="B757" s="2" t="s">
        <v>768</v>
      </c>
      <c r="C757" s="3">
        <v>45682</v>
      </c>
      <c r="D757" s="4" t="s">
        <v>19</v>
      </c>
      <c r="E757" s="4" t="s">
        <v>11</v>
      </c>
      <c r="F757" s="4" t="s">
        <v>1025</v>
      </c>
      <c r="G757" s="4">
        <v>8</v>
      </c>
      <c r="H757" s="4">
        <v>34768</v>
      </c>
      <c r="I757" s="4">
        <f t="shared" si="11"/>
        <v>278144</v>
      </c>
    </row>
    <row r="758" spans="1:9" x14ac:dyDescent="0.3">
      <c r="A758" s="1">
        <v>757</v>
      </c>
      <c r="B758" s="2" t="s">
        <v>769</v>
      </c>
      <c r="C758" s="3">
        <v>45683</v>
      </c>
      <c r="D758" s="4" t="s">
        <v>19</v>
      </c>
      <c r="E758" s="4" t="s">
        <v>1041</v>
      </c>
      <c r="F758" s="4" t="s">
        <v>1028</v>
      </c>
      <c r="G758" s="4">
        <v>18</v>
      </c>
      <c r="H758" s="4">
        <v>69418</v>
      </c>
      <c r="I758" s="4">
        <f t="shared" si="11"/>
        <v>1249524</v>
      </c>
    </row>
    <row r="759" spans="1:9" x14ac:dyDescent="0.3">
      <c r="A759" s="1">
        <v>758</v>
      </c>
      <c r="B759" s="2" t="s">
        <v>770</v>
      </c>
      <c r="C759" s="3">
        <v>45684</v>
      </c>
      <c r="D759" s="4" t="s">
        <v>1</v>
      </c>
      <c r="E759" s="4" t="s">
        <v>2</v>
      </c>
      <c r="F759" s="4" t="s">
        <v>1023</v>
      </c>
      <c r="G759" s="4">
        <v>12</v>
      </c>
      <c r="H759" s="4">
        <v>47788</v>
      </c>
      <c r="I759" s="4">
        <f t="shared" si="11"/>
        <v>573456</v>
      </c>
    </row>
    <row r="760" spans="1:9" x14ac:dyDescent="0.3">
      <c r="A760" s="1">
        <v>759</v>
      </c>
      <c r="B760" s="2" t="s">
        <v>771</v>
      </c>
      <c r="C760" s="3">
        <v>45685</v>
      </c>
      <c r="D760" s="4" t="s">
        <v>7</v>
      </c>
      <c r="E760" s="4" t="s">
        <v>9</v>
      </c>
      <c r="F760" s="4" t="s">
        <v>1023</v>
      </c>
      <c r="G760" s="4">
        <v>14</v>
      </c>
      <c r="H760" s="4">
        <v>51830</v>
      </c>
      <c r="I760" s="4">
        <f t="shared" si="11"/>
        <v>725620</v>
      </c>
    </row>
    <row r="761" spans="1:9" x14ac:dyDescent="0.3">
      <c r="A761" s="1">
        <v>760</v>
      </c>
      <c r="B761" s="2" t="s">
        <v>772</v>
      </c>
      <c r="C761" s="3">
        <v>45686</v>
      </c>
      <c r="D761" s="4" t="s">
        <v>1</v>
      </c>
      <c r="E761" s="4" t="s">
        <v>20</v>
      </c>
      <c r="F761" s="4" t="s">
        <v>1027</v>
      </c>
      <c r="G761" s="4">
        <v>2</v>
      </c>
      <c r="H761" s="4">
        <v>57446</v>
      </c>
      <c r="I761" s="4">
        <f t="shared" si="11"/>
        <v>114892</v>
      </c>
    </row>
    <row r="762" spans="1:9" x14ac:dyDescent="0.3">
      <c r="A762" s="1">
        <v>761</v>
      </c>
      <c r="B762" s="2" t="s">
        <v>773</v>
      </c>
      <c r="C762" s="3">
        <v>45687</v>
      </c>
      <c r="D762" s="4" t="s">
        <v>5</v>
      </c>
      <c r="E762" s="4" t="s">
        <v>1041</v>
      </c>
      <c r="F762" s="4" t="s">
        <v>1032</v>
      </c>
      <c r="G762" s="4">
        <v>18</v>
      </c>
      <c r="H762" s="4">
        <v>20160</v>
      </c>
      <c r="I762" s="4">
        <f t="shared" si="11"/>
        <v>362880</v>
      </c>
    </row>
    <row r="763" spans="1:9" x14ac:dyDescent="0.3">
      <c r="A763" s="1">
        <v>762</v>
      </c>
      <c r="B763" s="2" t="s">
        <v>774</v>
      </c>
      <c r="C763" s="3">
        <v>45688</v>
      </c>
      <c r="D763" s="4" t="s">
        <v>19</v>
      </c>
      <c r="E763" s="4" t="s">
        <v>20</v>
      </c>
      <c r="F763" s="4" t="s">
        <v>1025</v>
      </c>
      <c r="G763" s="4">
        <v>2</v>
      </c>
      <c r="H763" s="4">
        <v>61583</v>
      </c>
      <c r="I763" s="4">
        <f t="shared" si="11"/>
        <v>123166</v>
      </c>
    </row>
    <row r="764" spans="1:9" x14ac:dyDescent="0.3">
      <c r="A764" s="1">
        <v>763</v>
      </c>
      <c r="B764" s="2" t="s">
        <v>775</v>
      </c>
      <c r="C764" s="3">
        <v>45689</v>
      </c>
      <c r="D764" s="4" t="s">
        <v>7</v>
      </c>
      <c r="E764" s="4" t="s">
        <v>1041</v>
      </c>
      <c r="F764" s="4" t="s">
        <v>1032</v>
      </c>
      <c r="G764" s="4">
        <v>11</v>
      </c>
      <c r="H764" s="4">
        <v>38998</v>
      </c>
      <c r="I764" s="4">
        <f t="shared" si="11"/>
        <v>428978</v>
      </c>
    </row>
    <row r="765" spans="1:9" x14ac:dyDescent="0.3">
      <c r="A765" s="1">
        <v>764</v>
      </c>
      <c r="B765" s="2" t="s">
        <v>776</v>
      </c>
      <c r="C765" s="3">
        <v>45690</v>
      </c>
      <c r="D765" s="4" t="s">
        <v>19</v>
      </c>
      <c r="E765" s="4" t="s">
        <v>1041</v>
      </c>
      <c r="F765" s="4" t="s">
        <v>1027</v>
      </c>
      <c r="G765" s="4">
        <v>9</v>
      </c>
      <c r="H765" s="4">
        <v>32230</v>
      </c>
      <c r="I765" s="4">
        <f t="shared" si="11"/>
        <v>290070</v>
      </c>
    </row>
    <row r="766" spans="1:9" x14ac:dyDescent="0.3">
      <c r="A766" s="1">
        <v>765</v>
      </c>
      <c r="B766" s="2" t="s">
        <v>777</v>
      </c>
      <c r="C766" s="3">
        <v>45691</v>
      </c>
      <c r="D766" s="4" t="s">
        <v>7</v>
      </c>
      <c r="E766" s="4" t="s">
        <v>2</v>
      </c>
      <c r="F766" s="4" t="s">
        <v>12</v>
      </c>
      <c r="G766" s="4">
        <v>12</v>
      </c>
      <c r="H766" s="4">
        <v>14076</v>
      </c>
      <c r="I766" s="4">
        <f t="shared" si="11"/>
        <v>168912</v>
      </c>
    </row>
    <row r="767" spans="1:9" x14ac:dyDescent="0.3">
      <c r="A767" s="1">
        <v>766</v>
      </c>
      <c r="B767" s="2" t="s">
        <v>778</v>
      </c>
      <c r="C767" s="3">
        <v>45692</v>
      </c>
      <c r="D767" s="4" t="s">
        <v>1</v>
      </c>
      <c r="E767" s="4" t="s">
        <v>20</v>
      </c>
      <c r="F767" s="4" t="s">
        <v>1032</v>
      </c>
      <c r="G767" s="4">
        <v>17</v>
      </c>
      <c r="H767" s="4">
        <v>74341</v>
      </c>
      <c r="I767" s="4">
        <f t="shared" si="11"/>
        <v>1263797</v>
      </c>
    </row>
    <row r="768" spans="1:9" x14ac:dyDescent="0.3">
      <c r="A768" s="1">
        <v>767</v>
      </c>
      <c r="B768" s="2" t="s">
        <v>779</v>
      </c>
      <c r="C768" s="3">
        <v>45693</v>
      </c>
      <c r="D768" s="4" t="s">
        <v>7</v>
      </c>
      <c r="E768" s="4" t="s">
        <v>20</v>
      </c>
      <c r="F768" s="4" t="s">
        <v>1032</v>
      </c>
      <c r="G768" s="4">
        <v>15</v>
      </c>
      <c r="H768" s="4">
        <v>36085</v>
      </c>
      <c r="I768" s="4">
        <f t="shared" si="11"/>
        <v>541275</v>
      </c>
    </row>
    <row r="769" spans="1:9" x14ac:dyDescent="0.3">
      <c r="A769" s="1">
        <v>768</v>
      </c>
      <c r="B769" s="2" t="s">
        <v>780</v>
      </c>
      <c r="C769" s="3">
        <v>45694</v>
      </c>
      <c r="D769" s="4" t="s">
        <v>5</v>
      </c>
      <c r="E769" s="4" t="s">
        <v>9</v>
      </c>
      <c r="F769" s="4" t="s">
        <v>12</v>
      </c>
      <c r="G769" s="4">
        <v>17</v>
      </c>
      <c r="H769" s="4">
        <v>60571</v>
      </c>
      <c r="I769" s="4">
        <f t="shared" si="11"/>
        <v>1029707</v>
      </c>
    </row>
    <row r="770" spans="1:9" x14ac:dyDescent="0.3">
      <c r="A770" s="1">
        <v>769</v>
      </c>
      <c r="B770" s="2" t="s">
        <v>781</v>
      </c>
      <c r="C770" s="3">
        <v>45695</v>
      </c>
      <c r="D770" s="4" t="s">
        <v>5</v>
      </c>
      <c r="E770" s="4" t="s">
        <v>9</v>
      </c>
      <c r="F770" s="4" t="s">
        <v>1025</v>
      </c>
      <c r="G770" s="4">
        <v>18</v>
      </c>
      <c r="H770" s="4">
        <v>19715</v>
      </c>
      <c r="I770" s="4">
        <f t="shared" si="11"/>
        <v>354870</v>
      </c>
    </row>
    <row r="771" spans="1:9" x14ac:dyDescent="0.3">
      <c r="A771" s="1">
        <v>770</v>
      </c>
      <c r="B771" s="2" t="s">
        <v>782</v>
      </c>
      <c r="C771" s="3">
        <v>45696</v>
      </c>
      <c r="D771" s="4" t="s">
        <v>7</v>
      </c>
      <c r="E771" s="4" t="s">
        <v>2</v>
      </c>
      <c r="F771" s="4" t="s">
        <v>12</v>
      </c>
      <c r="G771" s="4">
        <v>6</v>
      </c>
      <c r="H771" s="4">
        <v>10750</v>
      </c>
      <c r="I771" s="4">
        <f t="shared" ref="I771:I834" si="12">G771*H771</f>
        <v>64500</v>
      </c>
    </row>
    <row r="772" spans="1:9" x14ac:dyDescent="0.3">
      <c r="A772" s="1">
        <v>771</v>
      </c>
      <c r="B772" s="2" t="s">
        <v>783</v>
      </c>
      <c r="C772" s="3">
        <v>45697</v>
      </c>
      <c r="D772" s="4" t="s">
        <v>7</v>
      </c>
      <c r="E772" s="4" t="s">
        <v>2</v>
      </c>
      <c r="F772" s="4" t="s">
        <v>1032</v>
      </c>
      <c r="G772" s="4">
        <v>17</v>
      </c>
      <c r="H772" s="4">
        <v>40903</v>
      </c>
      <c r="I772" s="4">
        <f t="shared" si="12"/>
        <v>695351</v>
      </c>
    </row>
    <row r="773" spans="1:9" x14ac:dyDescent="0.3">
      <c r="A773" s="1">
        <v>772</v>
      </c>
      <c r="B773" s="2" t="s">
        <v>784</v>
      </c>
      <c r="C773" s="3">
        <v>45698</v>
      </c>
      <c r="D773" s="4" t="s">
        <v>7</v>
      </c>
      <c r="E773" s="4" t="s">
        <v>11</v>
      </c>
      <c r="F773" s="4" t="s">
        <v>1025</v>
      </c>
      <c r="G773" s="4">
        <v>18</v>
      </c>
      <c r="H773" s="4">
        <v>37093</v>
      </c>
      <c r="I773" s="4">
        <f t="shared" si="12"/>
        <v>667674</v>
      </c>
    </row>
    <row r="774" spans="1:9" x14ac:dyDescent="0.3">
      <c r="A774" s="1">
        <v>773</v>
      </c>
      <c r="B774" s="2" t="s">
        <v>785</v>
      </c>
      <c r="C774" s="3">
        <v>45699</v>
      </c>
      <c r="D774" s="4" t="s">
        <v>7</v>
      </c>
      <c r="E774" s="4" t="s">
        <v>9</v>
      </c>
      <c r="F774" s="4" t="s">
        <v>1025</v>
      </c>
      <c r="G774" s="4">
        <v>8</v>
      </c>
      <c r="H774" s="4">
        <v>39314</v>
      </c>
      <c r="I774" s="4">
        <f t="shared" si="12"/>
        <v>314512</v>
      </c>
    </row>
    <row r="775" spans="1:9" x14ac:dyDescent="0.3">
      <c r="A775" s="1">
        <v>774</v>
      </c>
      <c r="B775" s="2" t="s">
        <v>786</v>
      </c>
      <c r="C775" s="3">
        <v>45700</v>
      </c>
      <c r="D775" s="4" t="s">
        <v>5</v>
      </c>
      <c r="E775" s="4" t="s">
        <v>1041</v>
      </c>
      <c r="F775" s="4" t="s">
        <v>12</v>
      </c>
      <c r="G775" s="4">
        <v>9</v>
      </c>
      <c r="H775" s="4">
        <v>53225</v>
      </c>
      <c r="I775" s="4">
        <f t="shared" si="12"/>
        <v>479025</v>
      </c>
    </row>
    <row r="776" spans="1:9" x14ac:dyDescent="0.3">
      <c r="A776" s="1">
        <v>775</v>
      </c>
      <c r="B776" s="2" t="s">
        <v>787</v>
      </c>
      <c r="C776" s="3">
        <v>45701</v>
      </c>
      <c r="D776" s="4" t="s">
        <v>19</v>
      </c>
      <c r="E776" s="4" t="s">
        <v>20</v>
      </c>
      <c r="F776" s="4" t="s">
        <v>1032</v>
      </c>
      <c r="G776" s="4">
        <v>6</v>
      </c>
      <c r="H776" s="4">
        <v>40179</v>
      </c>
      <c r="I776" s="4">
        <f t="shared" si="12"/>
        <v>241074</v>
      </c>
    </row>
    <row r="777" spans="1:9" x14ac:dyDescent="0.3">
      <c r="A777" s="1">
        <v>776</v>
      </c>
      <c r="B777" s="2" t="s">
        <v>788</v>
      </c>
      <c r="C777" s="3">
        <v>45702</v>
      </c>
      <c r="D777" s="4" t="s">
        <v>7</v>
      </c>
      <c r="E777" s="4" t="s">
        <v>2</v>
      </c>
      <c r="F777" s="4" t="s">
        <v>1027</v>
      </c>
      <c r="G777" s="4">
        <v>5</v>
      </c>
      <c r="H777" s="4">
        <v>30338</v>
      </c>
      <c r="I777" s="4">
        <f t="shared" si="12"/>
        <v>151690</v>
      </c>
    </row>
    <row r="778" spans="1:9" x14ac:dyDescent="0.3">
      <c r="A778" s="1">
        <v>777</v>
      </c>
      <c r="B778" s="2" t="s">
        <v>789</v>
      </c>
      <c r="C778" s="3">
        <v>45703</v>
      </c>
      <c r="D778" s="4" t="s">
        <v>7</v>
      </c>
      <c r="E778" s="4" t="s">
        <v>20</v>
      </c>
      <c r="F778" s="4" t="s">
        <v>1032</v>
      </c>
      <c r="G778" s="4">
        <v>12</v>
      </c>
      <c r="H778" s="4">
        <v>74681</v>
      </c>
      <c r="I778" s="4">
        <f t="shared" si="12"/>
        <v>896172</v>
      </c>
    </row>
    <row r="779" spans="1:9" x14ac:dyDescent="0.3">
      <c r="A779" s="1">
        <v>778</v>
      </c>
      <c r="B779" s="2" t="s">
        <v>790</v>
      </c>
      <c r="C779" s="3">
        <v>45704</v>
      </c>
      <c r="D779" s="4" t="s">
        <v>5</v>
      </c>
      <c r="E779" s="4" t="s">
        <v>20</v>
      </c>
      <c r="F779" s="4" t="s">
        <v>1030</v>
      </c>
      <c r="G779" s="4">
        <v>11</v>
      </c>
      <c r="H779" s="4">
        <v>37101</v>
      </c>
      <c r="I779" s="4">
        <f t="shared" si="12"/>
        <v>408111</v>
      </c>
    </row>
    <row r="780" spans="1:9" x14ac:dyDescent="0.3">
      <c r="A780" s="1">
        <v>779</v>
      </c>
      <c r="B780" s="2" t="s">
        <v>791</v>
      </c>
      <c r="C780" s="3">
        <v>45705</v>
      </c>
      <c r="D780" s="4" t="s">
        <v>5</v>
      </c>
      <c r="E780" s="4" t="s">
        <v>11</v>
      </c>
      <c r="F780" s="4" t="s">
        <v>1028</v>
      </c>
      <c r="G780" s="4">
        <v>1</v>
      </c>
      <c r="H780" s="4">
        <v>7775</v>
      </c>
      <c r="I780" s="4">
        <f t="shared" si="12"/>
        <v>7775</v>
      </c>
    </row>
    <row r="781" spans="1:9" x14ac:dyDescent="0.3">
      <c r="A781" s="1">
        <v>780</v>
      </c>
      <c r="B781" s="2" t="s">
        <v>792</v>
      </c>
      <c r="C781" s="3">
        <v>45706</v>
      </c>
      <c r="D781" s="4" t="s">
        <v>1</v>
      </c>
      <c r="E781" s="4" t="s">
        <v>9</v>
      </c>
      <c r="F781" s="4" t="s">
        <v>1027</v>
      </c>
      <c r="G781" s="4">
        <v>11</v>
      </c>
      <c r="H781" s="4">
        <v>50619</v>
      </c>
      <c r="I781" s="4">
        <f t="shared" si="12"/>
        <v>556809</v>
      </c>
    </row>
    <row r="782" spans="1:9" x14ac:dyDescent="0.3">
      <c r="A782" s="1">
        <v>781</v>
      </c>
      <c r="B782" s="2" t="s">
        <v>793</v>
      </c>
      <c r="C782" s="3">
        <v>45707</v>
      </c>
      <c r="D782" s="4" t="s">
        <v>7</v>
      </c>
      <c r="E782" s="4" t="s">
        <v>2</v>
      </c>
      <c r="F782" s="4" t="s">
        <v>1025</v>
      </c>
      <c r="G782" s="4">
        <v>19</v>
      </c>
      <c r="H782" s="4">
        <v>50838</v>
      </c>
      <c r="I782" s="4">
        <f t="shared" si="12"/>
        <v>965922</v>
      </c>
    </row>
    <row r="783" spans="1:9" x14ac:dyDescent="0.3">
      <c r="A783" s="1">
        <v>782</v>
      </c>
      <c r="B783" s="2" t="s">
        <v>794</v>
      </c>
      <c r="C783" s="3">
        <v>45708</v>
      </c>
      <c r="D783" s="4" t="s">
        <v>1</v>
      </c>
      <c r="E783" s="4" t="s">
        <v>20</v>
      </c>
      <c r="F783" s="4" t="s">
        <v>1027</v>
      </c>
      <c r="G783" s="4">
        <v>9</v>
      </c>
      <c r="H783" s="4">
        <v>24539</v>
      </c>
      <c r="I783" s="4">
        <f t="shared" si="12"/>
        <v>220851</v>
      </c>
    </row>
    <row r="784" spans="1:9" x14ac:dyDescent="0.3">
      <c r="A784" s="1">
        <v>783</v>
      </c>
      <c r="B784" s="2" t="s">
        <v>795</v>
      </c>
      <c r="C784" s="3">
        <v>45709</v>
      </c>
      <c r="D784" s="4" t="s">
        <v>5</v>
      </c>
      <c r="E784" s="4" t="s">
        <v>2</v>
      </c>
      <c r="F784" s="4" t="s">
        <v>1025</v>
      </c>
      <c r="G784" s="4">
        <v>2</v>
      </c>
      <c r="H784" s="4">
        <v>62124</v>
      </c>
      <c r="I784" s="4">
        <f t="shared" si="12"/>
        <v>124248</v>
      </c>
    </row>
    <row r="785" spans="1:9" x14ac:dyDescent="0.3">
      <c r="A785" s="1">
        <v>784</v>
      </c>
      <c r="B785" s="2" t="s">
        <v>796</v>
      </c>
      <c r="C785" s="3">
        <v>45710</v>
      </c>
      <c r="D785" s="4" t="s">
        <v>5</v>
      </c>
      <c r="E785" s="4" t="s">
        <v>1041</v>
      </c>
      <c r="F785" s="4" t="s">
        <v>1025</v>
      </c>
      <c r="G785" s="4">
        <v>12</v>
      </c>
      <c r="H785" s="4">
        <v>70149</v>
      </c>
      <c r="I785" s="4">
        <f t="shared" si="12"/>
        <v>841788</v>
      </c>
    </row>
    <row r="786" spans="1:9" x14ac:dyDescent="0.3">
      <c r="A786" s="1">
        <v>785</v>
      </c>
      <c r="B786" s="2" t="s">
        <v>797</v>
      </c>
      <c r="C786" s="3">
        <v>45711</v>
      </c>
      <c r="D786" s="4" t="s">
        <v>19</v>
      </c>
      <c r="E786" s="4" t="s">
        <v>11</v>
      </c>
      <c r="F786" s="4" t="s">
        <v>1027</v>
      </c>
      <c r="G786" s="4">
        <v>4</v>
      </c>
      <c r="H786" s="4">
        <v>31616</v>
      </c>
      <c r="I786" s="4">
        <f t="shared" si="12"/>
        <v>126464</v>
      </c>
    </row>
    <row r="787" spans="1:9" x14ac:dyDescent="0.3">
      <c r="A787" s="1">
        <v>786</v>
      </c>
      <c r="B787" s="2" t="s">
        <v>798</v>
      </c>
      <c r="C787" s="3">
        <v>45712</v>
      </c>
      <c r="D787" s="4" t="s">
        <v>7</v>
      </c>
      <c r="E787" s="4" t="s">
        <v>1041</v>
      </c>
      <c r="F787" s="4" t="s">
        <v>1025</v>
      </c>
      <c r="G787" s="4">
        <v>4</v>
      </c>
      <c r="H787" s="4">
        <v>59567</v>
      </c>
      <c r="I787" s="4">
        <f t="shared" si="12"/>
        <v>238268</v>
      </c>
    </row>
    <row r="788" spans="1:9" x14ac:dyDescent="0.3">
      <c r="A788" s="1">
        <v>787</v>
      </c>
      <c r="B788" s="2" t="s">
        <v>799</v>
      </c>
      <c r="C788" s="3">
        <v>45713</v>
      </c>
      <c r="D788" s="4" t="s">
        <v>1</v>
      </c>
      <c r="E788" s="4" t="s">
        <v>2</v>
      </c>
      <c r="F788" s="4" t="s">
        <v>1025</v>
      </c>
      <c r="G788" s="4">
        <v>18</v>
      </c>
      <c r="H788" s="4">
        <v>42099</v>
      </c>
      <c r="I788" s="4">
        <f t="shared" si="12"/>
        <v>757782</v>
      </c>
    </row>
    <row r="789" spans="1:9" x14ac:dyDescent="0.3">
      <c r="A789" s="1">
        <v>788</v>
      </c>
      <c r="B789" s="2" t="s">
        <v>800</v>
      </c>
      <c r="C789" s="3">
        <v>45714</v>
      </c>
      <c r="D789" s="4" t="s">
        <v>5</v>
      </c>
      <c r="E789" s="4" t="s">
        <v>2</v>
      </c>
      <c r="F789" s="4" t="s">
        <v>1030</v>
      </c>
      <c r="G789" s="4">
        <v>15</v>
      </c>
      <c r="H789" s="4">
        <v>66799</v>
      </c>
      <c r="I789" s="4">
        <f t="shared" si="12"/>
        <v>1001985</v>
      </c>
    </row>
    <row r="790" spans="1:9" x14ac:dyDescent="0.3">
      <c r="A790" s="1">
        <v>789</v>
      </c>
      <c r="B790" s="2" t="s">
        <v>801</v>
      </c>
      <c r="C790" s="3">
        <v>45715</v>
      </c>
      <c r="D790" s="4" t="s">
        <v>5</v>
      </c>
      <c r="E790" s="4" t="s">
        <v>9</v>
      </c>
      <c r="F790" s="4" t="s">
        <v>1032</v>
      </c>
      <c r="G790" s="4">
        <v>19</v>
      </c>
      <c r="H790" s="4">
        <v>30479</v>
      </c>
      <c r="I790" s="4">
        <f t="shared" si="12"/>
        <v>579101</v>
      </c>
    </row>
    <row r="791" spans="1:9" x14ac:dyDescent="0.3">
      <c r="A791" s="1">
        <v>790</v>
      </c>
      <c r="B791" s="2" t="s">
        <v>802</v>
      </c>
      <c r="C791" s="3">
        <v>45716</v>
      </c>
      <c r="D791" s="4" t="s">
        <v>1</v>
      </c>
      <c r="E791" s="4" t="s">
        <v>20</v>
      </c>
      <c r="F791" s="4" t="s">
        <v>1032</v>
      </c>
      <c r="G791" s="4">
        <v>13</v>
      </c>
      <c r="H791" s="4">
        <v>51172</v>
      </c>
      <c r="I791" s="4">
        <f t="shared" si="12"/>
        <v>665236</v>
      </c>
    </row>
    <row r="792" spans="1:9" x14ac:dyDescent="0.3">
      <c r="A792" s="1">
        <v>791</v>
      </c>
      <c r="B792" s="2" t="s">
        <v>803</v>
      </c>
      <c r="C792" s="3">
        <v>45717</v>
      </c>
      <c r="D792" s="4" t="s">
        <v>19</v>
      </c>
      <c r="E792" s="4" t="s">
        <v>20</v>
      </c>
      <c r="F792" s="4" t="s">
        <v>1028</v>
      </c>
      <c r="G792" s="4">
        <v>19</v>
      </c>
      <c r="H792" s="4">
        <v>60863</v>
      </c>
      <c r="I792" s="4">
        <f t="shared" si="12"/>
        <v>1156397</v>
      </c>
    </row>
    <row r="793" spans="1:9" x14ac:dyDescent="0.3">
      <c r="A793" s="1">
        <v>792</v>
      </c>
      <c r="B793" s="2" t="s">
        <v>804</v>
      </c>
      <c r="C793" s="3">
        <v>45718</v>
      </c>
      <c r="D793" s="4" t="s">
        <v>5</v>
      </c>
      <c r="E793" s="4" t="s">
        <v>1041</v>
      </c>
      <c r="F793" s="4" t="s">
        <v>1028</v>
      </c>
      <c r="G793" s="4">
        <v>17</v>
      </c>
      <c r="H793" s="4">
        <v>47043</v>
      </c>
      <c r="I793" s="4">
        <f t="shared" si="12"/>
        <v>799731</v>
      </c>
    </row>
    <row r="794" spans="1:9" x14ac:dyDescent="0.3">
      <c r="A794" s="1">
        <v>793</v>
      </c>
      <c r="B794" s="2" t="s">
        <v>805</v>
      </c>
      <c r="C794" s="3">
        <v>45719</v>
      </c>
      <c r="D794" s="4" t="s">
        <v>7</v>
      </c>
      <c r="E794" s="4" t="s">
        <v>11</v>
      </c>
      <c r="F794" s="4" t="s">
        <v>1030</v>
      </c>
      <c r="G794" s="4">
        <v>6</v>
      </c>
      <c r="H794" s="4">
        <v>20408</v>
      </c>
      <c r="I794" s="4">
        <f t="shared" si="12"/>
        <v>122448</v>
      </c>
    </row>
    <row r="795" spans="1:9" x14ac:dyDescent="0.3">
      <c r="A795" s="1">
        <v>794</v>
      </c>
      <c r="B795" s="2" t="s">
        <v>806</v>
      </c>
      <c r="C795" s="3">
        <v>45720</v>
      </c>
      <c r="D795" s="4" t="s">
        <v>5</v>
      </c>
      <c r="E795" s="4" t="s">
        <v>20</v>
      </c>
      <c r="F795" s="4" t="s">
        <v>1028</v>
      </c>
      <c r="G795" s="4">
        <v>16</v>
      </c>
      <c r="H795" s="4">
        <v>62980</v>
      </c>
      <c r="I795" s="4">
        <f t="shared" si="12"/>
        <v>1007680</v>
      </c>
    </row>
    <row r="796" spans="1:9" x14ac:dyDescent="0.3">
      <c r="A796" s="1">
        <v>795</v>
      </c>
      <c r="B796" s="2" t="s">
        <v>807</v>
      </c>
      <c r="C796" s="3">
        <v>45721</v>
      </c>
      <c r="D796" s="4" t="s">
        <v>7</v>
      </c>
      <c r="E796" s="4" t="s">
        <v>9</v>
      </c>
      <c r="F796" s="4" t="s">
        <v>1027</v>
      </c>
      <c r="G796" s="4">
        <v>12</v>
      </c>
      <c r="H796" s="4">
        <v>21351</v>
      </c>
      <c r="I796" s="4">
        <f t="shared" si="12"/>
        <v>256212</v>
      </c>
    </row>
    <row r="797" spans="1:9" x14ac:dyDescent="0.3">
      <c r="A797" s="1">
        <v>796</v>
      </c>
      <c r="B797" s="2" t="s">
        <v>808</v>
      </c>
      <c r="C797" s="3">
        <v>45722</v>
      </c>
      <c r="D797" s="4" t="s">
        <v>1</v>
      </c>
      <c r="E797" s="4" t="s">
        <v>1041</v>
      </c>
      <c r="F797" s="4" t="s">
        <v>12</v>
      </c>
      <c r="G797" s="4">
        <v>19</v>
      </c>
      <c r="H797" s="4">
        <v>9131</v>
      </c>
      <c r="I797" s="4">
        <f t="shared" si="12"/>
        <v>173489</v>
      </c>
    </row>
    <row r="798" spans="1:9" x14ac:dyDescent="0.3">
      <c r="A798" s="1">
        <v>797</v>
      </c>
      <c r="B798" s="2" t="s">
        <v>809</v>
      </c>
      <c r="C798" s="3">
        <v>45723</v>
      </c>
      <c r="D798" s="4" t="s">
        <v>7</v>
      </c>
      <c r="E798" s="4" t="s">
        <v>1041</v>
      </c>
      <c r="F798" s="4" t="s">
        <v>12</v>
      </c>
      <c r="G798" s="4">
        <v>5</v>
      </c>
      <c r="H798" s="4">
        <v>49825</v>
      </c>
      <c r="I798" s="4">
        <f t="shared" si="12"/>
        <v>249125</v>
      </c>
    </row>
    <row r="799" spans="1:9" x14ac:dyDescent="0.3">
      <c r="A799" s="1">
        <v>798</v>
      </c>
      <c r="B799" s="2" t="s">
        <v>810</v>
      </c>
      <c r="C799" s="3">
        <v>45724</v>
      </c>
      <c r="D799" s="4" t="s">
        <v>1</v>
      </c>
      <c r="E799" s="4" t="s">
        <v>9</v>
      </c>
      <c r="F799" s="4" t="s">
        <v>12</v>
      </c>
      <c r="G799" s="4">
        <v>17</v>
      </c>
      <c r="H799" s="4">
        <v>16349</v>
      </c>
      <c r="I799" s="4">
        <f t="shared" si="12"/>
        <v>277933</v>
      </c>
    </row>
    <row r="800" spans="1:9" x14ac:dyDescent="0.3">
      <c r="A800" s="1">
        <v>799</v>
      </c>
      <c r="B800" s="2" t="s">
        <v>811</v>
      </c>
      <c r="C800" s="3">
        <v>45725</v>
      </c>
      <c r="D800" s="4" t="s">
        <v>7</v>
      </c>
      <c r="E800" s="4" t="s">
        <v>11</v>
      </c>
      <c r="F800" s="4" t="s">
        <v>1030</v>
      </c>
      <c r="G800" s="4">
        <v>1</v>
      </c>
      <c r="H800" s="4">
        <v>65931</v>
      </c>
      <c r="I800" s="4">
        <f t="shared" si="12"/>
        <v>65931</v>
      </c>
    </row>
    <row r="801" spans="1:9" x14ac:dyDescent="0.3">
      <c r="A801" s="1">
        <v>800</v>
      </c>
      <c r="B801" s="2" t="s">
        <v>812</v>
      </c>
      <c r="C801" s="3">
        <v>45726</v>
      </c>
      <c r="D801" s="4" t="s">
        <v>1</v>
      </c>
      <c r="E801" s="4" t="s">
        <v>9</v>
      </c>
      <c r="F801" s="4" t="s">
        <v>1030</v>
      </c>
      <c r="G801" s="4">
        <v>10</v>
      </c>
      <c r="H801" s="4">
        <v>49254</v>
      </c>
      <c r="I801" s="4">
        <f t="shared" si="12"/>
        <v>492540</v>
      </c>
    </row>
    <row r="802" spans="1:9" x14ac:dyDescent="0.3">
      <c r="A802" s="1">
        <v>801</v>
      </c>
      <c r="B802" s="2" t="s">
        <v>813</v>
      </c>
      <c r="C802" s="3">
        <v>45727</v>
      </c>
      <c r="D802" s="4" t="s">
        <v>7</v>
      </c>
      <c r="E802" s="4" t="s">
        <v>11</v>
      </c>
      <c r="F802" s="4" t="s">
        <v>1025</v>
      </c>
      <c r="G802" s="4">
        <v>15</v>
      </c>
      <c r="H802" s="4">
        <v>43225</v>
      </c>
      <c r="I802" s="4">
        <f t="shared" si="12"/>
        <v>648375</v>
      </c>
    </row>
    <row r="803" spans="1:9" x14ac:dyDescent="0.3">
      <c r="A803" s="1">
        <v>802</v>
      </c>
      <c r="B803" s="2" t="s">
        <v>814</v>
      </c>
      <c r="C803" s="3">
        <v>45728</v>
      </c>
      <c r="D803" s="4" t="s">
        <v>19</v>
      </c>
      <c r="E803" s="4" t="s">
        <v>9</v>
      </c>
      <c r="F803" s="4" t="s">
        <v>12</v>
      </c>
      <c r="G803" s="4">
        <v>11</v>
      </c>
      <c r="H803" s="4">
        <v>17453</v>
      </c>
      <c r="I803" s="4">
        <f t="shared" si="12"/>
        <v>191983</v>
      </c>
    </row>
    <row r="804" spans="1:9" x14ac:dyDescent="0.3">
      <c r="A804" s="1">
        <v>803</v>
      </c>
      <c r="B804" s="2" t="s">
        <v>815</v>
      </c>
      <c r="C804" s="3">
        <v>45729</v>
      </c>
      <c r="D804" s="4" t="s">
        <v>7</v>
      </c>
      <c r="E804" s="4" t="s">
        <v>9</v>
      </c>
      <c r="F804" s="4" t="s">
        <v>1027</v>
      </c>
      <c r="G804" s="4">
        <v>13</v>
      </c>
      <c r="H804" s="4">
        <v>23814</v>
      </c>
      <c r="I804" s="4">
        <f t="shared" si="12"/>
        <v>309582</v>
      </c>
    </row>
    <row r="805" spans="1:9" x14ac:dyDescent="0.3">
      <c r="A805" s="1">
        <v>804</v>
      </c>
      <c r="B805" s="2" t="s">
        <v>816</v>
      </c>
      <c r="C805" s="3">
        <v>45730</v>
      </c>
      <c r="D805" s="4" t="s">
        <v>7</v>
      </c>
      <c r="E805" s="4" t="s">
        <v>2</v>
      </c>
      <c r="F805" s="4" t="s">
        <v>1028</v>
      </c>
      <c r="G805" s="4">
        <v>5</v>
      </c>
      <c r="H805" s="4">
        <v>23263</v>
      </c>
      <c r="I805" s="4">
        <f t="shared" si="12"/>
        <v>116315</v>
      </c>
    </row>
    <row r="806" spans="1:9" x14ac:dyDescent="0.3">
      <c r="A806" s="1">
        <v>805</v>
      </c>
      <c r="B806" s="2" t="s">
        <v>817</v>
      </c>
      <c r="C806" s="3">
        <v>45731</v>
      </c>
      <c r="D806" s="4" t="s">
        <v>19</v>
      </c>
      <c r="E806" s="4" t="s">
        <v>24</v>
      </c>
      <c r="F806" s="4" t="s">
        <v>1027</v>
      </c>
      <c r="G806" s="4">
        <v>1</v>
      </c>
      <c r="H806" s="4">
        <v>20735</v>
      </c>
      <c r="I806" s="4">
        <f t="shared" si="12"/>
        <v>20735</v>
      </c>
    </row>
    <row r="807" spans="1:9" x14ac:dyDescent="0.3">
      <c r="A807" s="1">
        <v>806</v>
      </c>
      <c r="B807" s="2" t="s">
        <v>818</v>
      </c>
      <c r="C807" s="3">
        <v>45732</v>
      </c>
      <c r="D807" s="4" t="s">
        <v>5</v>
      </c>
      <c r="E807" s="4" t="s">
        <v>9</v>
      </c>
      <c r="F807" s="4" t="s">
        <v>1028</v>
      </c>
      <c r="G807" s="4">
        <v>12</v>
      </c>
      <c r="H807" s="4">
        <v>20830</v>
      </c>
      <c r="I807" s="4">
        <f t="shared" si="12"/>
        <v>249960</v>
      </c>
    </row>
    <row r="808" spans="1:9" x14ac:dyDescent="0.3">
      <c r="A808" s="1">
        <v>807</v>
      </c>
      <c r="B808" s="2" t="s">
        <v>819</v>
      </c>
      <c r="C808" s="3">
        <v>45733</v>
      </c>
      <c r="D808" s="4" t="s">
        <v>5</v>
      </c>
      <c r="E808" s="4" t="s">
        <v>9</v>
      </c>
      <c r="F808" s="4" t="s">
        <v>12</v>
      </c>
      <c r="G808" s="4">
        <v>11</v>
      </c>
      <c r="H808" s="4">
        <v>52893</v>
      </c>
      <c r="I808" s="4">
        <f t="shared" si="12"/>
        <v>581823</v>
      </c>
    </row>
    <row r="809" spans="1:9" x14ac:dyDescent="0.3">
      <c r="A809" s="1">
        <v>808</v>
      </c>
      <c r="B809" s="2" t="s">
        <v>820</v>
      </c>
      <c r="C809" s="3">
        <v>45734</v>
      </c>
      <c r="D809" s="4" t="s">
        <v>7</v>
      </c>
      <c r="E809" s="4" t="s">
        <v>20</v>
      </c>
      <c r="F809" s="4" t="s">
        <v>12</v>
      </c>
      <c r="G809" s="4">
        <v>17</v>
      </c>
      <c r="H809" s="4">
        <v>49673</v>
      </c>
      <c r="I809" s="4">
        <f t="shared" si="12"/>
        <v>844441</v>
      </c>
    </row>
    <row r="810" spans="1:9" x14ac:dyDescent="0.3">
      <c r="A810" s="1">
        <v>809</v>
      </c>
      <c r="B810" s="2" t="s">
        <v>821</v>
      </c>
      <c r="C810" s="3">
        <v>45735</v>
      </c>
      <c r="D810" s="4" t="s">
        <v>19</v>
      </c>
      <c r="E810" s="4" t="s">
        <v>24</v>
      </c>
      <c r="F810" s="4" t="s">
        <v>12</v>
      </c>
      <c r="G810" s="4">
        <v>4</v>
      </c>
      <c r="H810" s="4">
        <v>50066</v>
      </c>
      <c r="I810" s="4">
        <f t="shared" si="12"/>
        <v>200264</v>
      </c>
    </row>
    <row r="811" spans="1:9" x14ac:dyDescent="0.3">
      <c r="A811" s="1">
        <v>810</v>
      </c>
      <c r="B811" s="2" t="s">
        <v>822</v>
      </c>
      <c r="C811" s="3">
        <v>45736</v>
      </c>
      <c r="D811" s="4" t="s">
        <v>7</v>
      </c>
      <c r="E811" s="4" t="s">
        <v>20</v>
      </c>
      <c r="F811" s="4" t="s">
        <v>1030</v>
      </c>
      <c r="G811" s="4">
        <v>15</v>
      </c>
      <c r="H811" s="4">
        <v>8373</v>
      </c>
      <c r="I811" s="4">
        <f t="shared" si="12"/>
        <v>125595</v>
      </c>
    </row>
    <row r="812" spans="1:9" x14ac:dyDescent="0.3">
      <c r="A812" s="1">
        <v>811</v>
      </c>
      <c r="B812" s="2" t="s">
        <v>823</v>
      </c>
      <c r="C812" s="3">
        <v>45737</v>
      </c>
      <c r="D812" s="4" t="s">
        <v>1</v>
      </c>
      <c r="E812" s="4" t="s">
        <v>24</v>
      </c>
      <c r="F812" s="4" t="s">
        <v>1028</v>
      </c>
      <c r="G812" s="4">
        <v>9</v>
      </c>
      <c r="H812" s="4">
        <v>15335</v>
      </c>
      <c r="I812" s="4">
        <f t="shared" si="12"/>
        <v>138015</v>
      </c>
    </row>
    <row r="813" spans="1:9" x14ac:dyDescent="0.3">
      <c r="A813" s="1">
        <v>812</v>
      </c>
      <c r="B813" s="2" t="s">
        <v>824</v>
      </c>
      <c r="C813" s="3">
        <v>45738</v>
      </c>
      <c r="D813" s="4" t="s">
        <v>1</v>
      </c>
      <c r="E813" s="4" t="s">
        <v>20</v>
      </c>
      <c r="F813" s="4" t="s">
        <v>1030</v>
      </c>
      <c r="G813" s="4">
        <v>19</v>
      </c>
      <c r="H813" s="4">
        <v>28741</v>
      </c>
      <c r="I813" s="4">
        <f t="shared" si="12"/>
        <v>546079</v>
      </c>
    </row>
    <row r="814" spans="1:9" x14ac:dyDescent="0.3">
      <c r="A814" s="1">
        <v>813</v>
      </c>
      <c r="B814" s="2" t="s">
        <v>825</v>
      </c>
      <c r="C814" s="3">
        <v>45739</v>
      </c>
      <c r="D814" s="4" t="s">
        <v>7</v>
      </c>
      <c r="E814" s="4" t="s">
        <v>9</v>
      </c>
      <c r="F814" s="4" t="s">
        <v>1030</v>
      </c>
      <c r="G814" s="4">
        <v>19</v>
      </c>
      <c r="H814" s="4">
        <v>15692</v>
      </c>
      <c r="I814" s="4">
        <f t="shared" si="12"/>
        <v>298148</v>
      </c>
    </row>
    <row r="815" spans="1:9" x14ac:dyDescent="0.3">
      <c r="A815" s="1">
        <v>814</v>
      </c>
      <c r="B815" s="2" t="s">
        <v>826</v>
      </c>
      <c r="C815" s="3">
        <v>45740</v>
      </c>
      <c r="D815" s="4" t="s">
        <v>5</v>
      </c>
      <c r="E815" s="4" t="s">
        <v>9</v>
      </c>
      <c r="F815" s="4" t="s">
        <v>1032</v>
      </c>
      <c r="G815" s="4">
        <v>12</v>
      </c>
      <c r="H815" s="4">
        <v>52295</v>
      </c>
      <c r="I815" s="4">
        <f t="shared" si="12"/>
        <v>627540</v>
      </c>
    </row>
    <row r="816" spans="1:9" x14ac:dyDescent="0.3">
      <c r="A816" s="1">
        <v>815</v>
      </c>
      <c r="B816" s="2" t="s">
        <v>827</v>
      </c>
      <c r="C816" s="3">
        <v>45741</v>
      </c>
      <c r="D816" s="4" t="s">
        <v>5</v>
      </c>
      <c r="E816" s="4" t="s">
        <v>2</v>
      </c>
      <c r="F816" s="4" t="s">
        <v>1027</v>
      </c>
      <c r="G816" s="4">
        <v>5</v>
      </c>
      <c r="H816" s="4">
        <v>50541</v>
      </c>
      <c r="I816" s="4">
        <f t="shared" si="12"/>
        <v>252705</v>
      </c>
    </row>
    <row r="817" spans="1:9" x14ac:dyDescent="0.3">
      <c r="A817" s="1">
        <v>816</v>
      </c>
      <c r="B817" s="2" t="s">
        <v>828</v>
      </c>
      <c r="C817" s="3">
        <v>45742</v>
      </c>
      <c r="D817" s="4" t="s">
        <v>7</v>
      </c>
      <c r="E817" s="4" t="s">
        <v>20</v>
      </c>
      <c r="F817" s="4" t="s">
        <v>1027</v>
      </c>
      <c r="G817" s="4">
        <v>10</v>
      </c>
      <c r="H817" s="4">
        <v>39057</v>
      </c>
      <c r="I817" s="4">
        <f t="shared" si="12"/>
        <v>390570</v>
      </c>
    </row>
    <row r="818" spans="1:9" x14ac:dyDescent="0.3">
      <c r="A818" s="1">
        <v>817</v>
      </c>
      <c r="B818" s="2" t="s">
        <v>829</v>
      </c>
      <c r="C818" s="3">
        <v>45743</v>
      </c>
      <c r="D818" s="4" t="s">
        <v>7</v>
      </c>
      <c r="E818" s="4" t="s">
        <v>11</v>
      </c>
      <c r="F818" s="4" t="s">
        <v>1025</v>
      </c>
      <c r="G818" s="4">
        <v>17</v>
      </c>
      <c r="H818" s="4">
        <v>71983</v>
      </c>
      <c r="I818" s="4">
        <f t="shared" si="12"/>
        <v>1223711</v>
      </c>
    </row>
    <row r="819" spans="1:9" x14ac:dyDescent="0.3">
      <c r="A819" s="1">
        <v>818</v>
      </c>
      <c r="B819" s="2" t="s">
        <v>830</v>
      </c>
      <c r="C819" s="3">
        <v>45744</v>
      </c>
      <c r="D819" s="4" t="s">
        <v>1</v>
      </c>
      <c r="E819" s="4" t="s">
        <v>2</v>
      </c>
      <c r="F819" s="4" t="s">
        <v>1030</v>
      </c>
      <c r="G819" s="4">
        <v>5</v>
      </c>
      <c r="H819" s="4">
        <v>24583</v>
      </c>
      <c r="I819" s="4">
        <f t="shared" si="12"/>
        <v>122915</v>
      </c>
    </row>
    <row r="820" spans="1:9" x14ac:dyDescent="0.3">
      <c r="A820" s="1">
        <v>819</v>
      </c>
      <c r="B820" s="2" t="s">
        <v>831</v>
      </c>
      <c r="C820" s="3">
        <v>45745</v>
      </c>
      <c r="D820" s="4" t="s">
        <v>5</v>
      </c>
      <c r="E820" s="4" t="s">
        <v>20</v>
      </c>
      <c r="F820" s="4" t="s">
        <v>1028</v>
      </c>
      <c r="G820" s="4">
        <v>16</v>
      </c>
      <c r="H820" s="4">
        <v>27765</v>
      </c>
      <c r="I820" s="4">
        <f t="shared" si="12"/>
        <v>444240</v>
      </c>
    </row>
    <row r="821" spans="1:9" x14ac:dyDescent="0.3">
      <c r="A821" s="1">
        <v>820</v>
      </c>
      <c r="B821" s="2" t="s">
        <v>832</v>
      </c>
      <c r="C821" s="3">
        <v>45746</v>
      </c>
      <c r="D821" s="4" t="s">
        <v>7</v>
      </c>
      <c r="E821" s="4" t="s">
        <v>20</v>
      </c>
      <c r="F821" s="4" t="s">
        <v>1032</v>
      </c>
      <c r="G821" s="4">
        <v>7</v>
      </c>
      <c r="H821" s="4">
        <v>64287</v>
      </c>
      <c r="I821" s="4">
        <f t="shared" si="12"/>
        <v>450009</v>
      </c>
    </row>
    <row r="822" spans="1:9" x14ac:dyDescent="0.3">
      <c r="A822" s="1">
        <v>821</v>
      </c>
      <c r="B822" s="2" t="s">
        <v>833</v>
      </c>
      <c r="C822" s="3">
        <v>45747</v>
      </c>
      <c r="D822" s="4" t="s">
        <v>1</v>
      </c>
      <c r="E822" s="4" t="s">
        <v>2</v>
      </c>
      <c r="F822" s="4" t="s">
        <v>1032</v>
      </c>
      <c r="G822" s="4">
        <v>9</v>
      </c>
      <c r="H822" s="4">
        <v>28906</v>
      </c>
      <c r="I822" s="4">
        <f t="shared" si="12"/>
        <v>260154</v>
      </c>
    </row>
    <row r="823" spans="1:9" x14ac:dyDescent="0.3">
      <c r="A823" s="1">
        <v>822</v>
      </c>
      <c r="B823" s="2" t="s">
        <v>834</v>
      </c>
      <c r="C823" s="3">
        <v>45748</v>
      </c>
      <c r="D823" s="4" t="s">
        <v>5</v>
      </c>
      <c r="E823" s="4" t="s">
        <v>9</v>
      </c>
      <c r="F823" s="4" t="s">
        <v>1027</v>
      </c>
      <c r="G823" s="4">
        <v>3</v>
      </c>
      <c r="H823" s="4">
        <v>51525</v>
      </c>
      <c r="I823" s="4">
        <f t="shared" si="12"/>
        <v>154575</v>
      </c>
    </row>
    <row r="824" spans="1:9" x14ac:dyDescent="0.3">
      <c r="A824" s="1">
        <v>823</v>
      </c>
      <c r="B824" s="2" t="s">
        <v>835</v>
      </c>
      <c r="C824" s="3">
        <v>45749</v>
      </c>
      <c r="D824" s="4" t="s">
        <v>19</v>
      </c>
      <c r="E824" s="4" t="s">
        <v>20</v>
      </c>
      <c r="F824" s="4" t="s">
        <v>1030</v>
      </c>
      <c r="G824" s="4">
        <v>15</v>
      </c>
      <c r="H824" s="4">
        <v>43230</v>
      </c>
      <c r="I824" s="4">
        <f t="shared" si="12"/>
        <v>648450</v>
      </c>
    </row>
    <row r="825" spans="1:9" x14ac:dyDescent="0.3">
      <c r="A825" s="1">
        <v>824</v>
      </c>
      <c r="B825" s="2" t="s">
        <v>836</v>
      </c>
      <c r="C825" s="3">
        <v>45750</v>
      </c>
      <c r="D825" s="4" t="s">
        <v>1</v>
      </c>
      <c r="E825" s="4" t="s">
        <v>9</v>
      </c>
      <c r="F825" s="4" t="s">
        <v>1025</v>
      </c>
      <c r="G825" s="4">
        <v>16</v>
      </c>
      <c r="H825" s="4">
        <v>24520</v>
      </c>
      <c r="I825" s="4">
        <f t="shared" si="12"/>
        <v>392320</v>
      </c>
    </row>
    <row r="826" spans="1:9" x14ac:dyDescent="0.3">
      <c r="A826" s="1">
        <v>825</v>
      </c>
      <c r="B826" s="2" t="s">
        <v>837</v>
      </c>
      <c r="C826" s="3">
        <v>45751</v>
      </c>
      <c r="D826" s="4" t="s">
        <v>5</v>
      </c>
      <c r="E826" s="4" t="s">
        <v>2</v>
      </c>
      <c r="F826" s="4" t="s">
        <v>1030</v>
      </c>
      <c r="G826" s="4">
        <v>18</v>
      </c>
      <c r="H826" s="4">
        <v>56934</v>
      </c>
      <c r="I826" s="4">
        <f t="shared" si="12"/>
        <v>1024812</v>
      </c>
    </row>
    <row r="827" spans="1:9" x14ac:dyDescent="0.3">
      <c r="A827" s="1">
        <v>826</v>
      </c>
      <c r="B827" s="2" t="s">
        <v>838</v>
      </c>
      <c r="C827" s="3">
        <v>45752</v>
      </c>
      <c r="D827" s="4" t="s">
        <v>5</v>
      </c>
      <c r="E827" s="4" t="s">
        <v>9</v>
      </c>
      <c r="F827" s="4" t="s">
        <v>12</v>
      </c>
      <c r="G827" s="4">
        <v>14</v>
      </c>
      <c r="H827" s="4">
        <v>30566</v>
      </c>
      <c r="I827" s="4">
        <f t="shared" si="12"/>
        <v>427924</v>
      </c>
    </row>
    <row r="828" spans="1:9" x14ac:dyDescent="0.3">
      <c r="A828" s="1">
        <v>827</v>
      </c>
      <c r="B828" s="2" t="s">
        <v>839</v>
      </c>
      <c r="C828" s="3">
        <v>45753</v>
      </c>
      <c r="D828" s="4" t="s">
        <v>1</v>
      </c>
      <c r="E828" s="4" t="s">
        <v>24</v>
      </c>
      <c r="F828" s="4" t="s">
        <v>1030</v>
      </c>
      <c r="G828" s="4">
        <v>3</v>
      </c>
      <c r="H828" s="4">
        <v>35134</v>
      </c>
      <c r="I828" s="4">
        <f t="shared" si="12"/>
        <v>105402</v>
      </c>
    </row>
    <row r="829" spans="1:9" x14ac:dyDescent="0.3">
      <c r="A829" s="1">
        <v>828</v>
      </c>
      <c r="B829" s="2" t="s">
        <v>840</v>
      </c>
      <c r="C829" s="3">
        <v>45754</v>
      </c>
      <c r="D829" s="4" t="s">
        <v>19</v>
      </c>
      <c r="E829" s="4" t="s">
        <v>11</v>
      </c>
      <c r="F829" s="4" t="s">
        <v>12</v>
      </c>
      <c r="G829" s="4">
        <v>12</v>
      </c>
      <c r="H829" s="4">
        <v>15345</v>
      </c>
      <c r="I829" s="4">
        <f t="shared" si="12"/>
        <v>184140</v>
      </c>
    </row>
    <row r="830" spans="1:9" x14ac:dyDescent="0.3">
      <c r="A830" s="1">
        <v>829</v>
      </c>
      <c r="B830" s="2" t="s">
        <v>841</v>
      </c>
      <c r="C830" s="3">
        <v>45755</v>
      </c>
      <c r="D830" s="4" t="s">
        <v>1</v>
      </c>
      <c r="E830" s="4" t="s">
        <v>20</v>
      </c>
      <c r="F830" s="4" t="s">
        <v>12</v>
      </c>
      <c r="G830" s="4">
        <v>9</v>
      </c>
      <c r="H830" s="4">
        <v>46185</v>
      </c>
      <c r="I830" s="4">
        <f t="shared" si="12"/>
        <v>415665</v>
      </c>
    </row>
    <row r="831" spans="1:9" x14ac:dyDescent="0.3">
      <c r="A831" s="1">
        <v>830</v>
      </c>
      <c r="B831" s="2" t="s">
        <v>842</v>
      </c>
      <c r="C831" s="3">
        <v>45756</v>
      </c>
      <c r="D831" s="4" t="s">
        <v>5</v>
      </c>
      <c r="E831" s="4" t="s">
        <v>11</v>
      </c>
      <c r="F831" s="4" t="s">
        <v>1025</v>
      </c>
      <c r="G831" s="4">
        <v>7</v>
      </c>
      <c r="H831" s="4">
        <v>38455</v>
      </c>
      <c r="I831" s="4">
        <f t="shared" si="12"/>
        <v>269185</v>
      </c>
    </row>
    <row r="832" spans="1:9" x14ac:dyDescent="0.3">
      <c r="A832" s="1">
        <v>831</v>
      </c>
      <c r="B832" s="2" t="s">
        <v>843</v>
      </c>
      <c r="C832" s="3">
        <v>45757</v>
      </c>
      <c r="D832" s="4" t="s">
        <v>7</v>
      </c>
      <c r="E832" s="4" t="s">
        <v>9</v>
      </c>
      <c r="F832" s="4" t="s">
        <v>1028</v>
      </c>
      <c r="G832" s="4">
        <v>9</v>
      </c>
      <c r="H832" s="4">
        <v>33018</v>
      </c>
      <c r="I832" s="4">
        <f t="shared" si="12"/>
        <v>297162</v>
      </c>
    </row>
    <row r="833" spans="1:9" x14ac:dyDescent="0.3">
      <c r="A833" s="1">
        <v>832</v>
      </c>
      <c r="B833" s="2" t="s">
        <v>844</v>
      </c>
      <c r="C833" s="3">
        <v>45758</v>
      </c>
      <c r="D833" s="4" t="s">
        <v>7</v>
      </c>
      <c r="E833" s="4" t="s">
        <v>20</v>
      </c>
      <c r="F833" s="4" t="s">
        <v>1027</v>
      </c>
      <c r="G833" s="4">
        <v>13</v>
      </c>
      <c r="H833" s="4">
        <v>59219</v>
      </c>
      <c r="I833" s="4">
        <f t="shared" si="12"/>
        <v>769847</v>
      </c>
    </row>
    <row r="834" spans="1:9" x14ac:dyDescent="0.3">
      <c r="A834" s="1">
        <v>833</v>
      </c>
      <c r="B834" s="2" t="s">
        <v>845</v>
      </c>
      <c r="C834" s="3">
        <v>45759</v>
      </c>
      <c r="D834" s="4" t="s">
        <v>1</v>
      </c>
      <c r="E834" s="4" t="s">
        <v>9</v>
      </c>
      <c r="F834" s="4" t="s">
        <v>1030</v>
      </c>
      <c r="G834" s="4">
        <v>18</v>
      </c>
      <c r="H834" s="4">
        <v>50991</v>
      </c>
      <c r="I834" s="4">
        <f t="shared" si="12"/>
        <v>917838</v>
      </c>
    </row>
    <row r="835" spans="1:9" x14ac:dyDescent="0.3">
      <c r="A835" s="1">
        <v>834</v>
      </c>
      <c r="B835" s="2" t="s">
        <v>846</v>
      </c>
      <c r="C835" s="3">
        <v>45760</v>
      </c>
      <c r="D835" s="4" t="s">
        <v>5</v>
      </c>
      <c r="E835" s="4" t="s">
        <v>24</v>
      </c>
      <c r="F835" s="4" t="s">
        <v>12</v>
      </c>
      <c r="G835" s="4">
        <v>5</v>
      </c>
      <c r="H835" s="4">
        <v>14486</v>
      </c>
      <c r="I835" s="4">
        <f t="shared" ref="I835:I898" si="13">G835*H835</f>
        <v>72430</v>
      </c>
    </row>
    <row r="836" spans="1:9" x14ac:dyDescent="0.3">
      <c r="A836" s="1">
        <v>835</v>
      </c>
      <c r="B836" s="2" t="s">
        <v>847</v>
      </c>
      <c r="C836" s="3">
        <v>45761</v>
      </c>
      <c r="D836" s="4" t="s">
        <v>7</v>
      </c>
      <c r="E836" s="4" t="s">
        <v>2</v>
      </c>
      <c r="F836" s="4" t="s">
        <v>1030</v>
      </c>
      <c r="G836" s="4">
        <v>13</v>
      </c>
      <c r="H836" s="4">
        <v>43862</v>
      </c>
      <c r="I836" s="4">
        <f t="shared" si="13"/>
        <v>570206</v>
      </c>
    </row>
    <row r="837" spans="1:9" x14ac:dyDescent="0.3">
      <c r="A837" s="1">
        <v>836</v>
      </c>
      <c r="B837" s="2" t="s">
        <v>848</v>
      </c>
      <c r="C837" s="3">
        <v>45762</v>
      </c>
      <c r="D837" s="4" t="s">
        <v>5</v>
      </c>
      <c r="E837" s="4" t="s">
        <v>20</v>
      </c>
      <c r="F837" s="4" t="s">
        <v>1028</v>
      </c>
      <c r="G837" s="4">
        <v>4</v>
      </c>
      <c r="H837" s="4">
        <v>63870</v>
      </c>
      <c r="I837" s="4">
        <f t="shared" si="13"/>
        <v>255480</v>
      </c>
    </row>
    <row r="838" spans="1:9" x14ac:dyDescent="0.3">
      <c r="A838" s="1">
        <v>837</v>
      </c>
      <c r="B838" s="2" t="s">
        <v>849</v>
      </c>
      <c r="C838" s="3">
        <v>45763</v>
      </c>
      <c r="D838" s="4" t="s">
        <v>1</v>
      </c>
      <c r="E838" s="4" t="s">
        <v>24</v>
      </c>
      <c r="F838" s="4" t="s">
        <v>1027</v>
      </c>
      <c r="G838" s="4">
        <v>2</v>
      </c>
      <c r="H838" s="4">
        <v>48856</v>
      </c>
      <c r="I838" s="4">
        <f t="shared" si="13"/>
        <v>97712</v>
      </c>
    </row>
    <row r="839" spans="1:9" x14ac:dyDescent="0.3">
      <c r="A839" s="1">
        <v>838</v>
      </c>
      <c r="B839" s="2" t="s">
        <v>850</v>
      </c>
      <c r="C839" s="3">
        <v>45764</v>
      </c>
      <c r="D839" s="4" t="s">
        <v>7</v>
      </c>
      <c r="E839" s="4" t="s">
        <v>24</v>
      </c>
      <c r="F839" s="4" t="s">
        <v>1028</v>
      </c>
      <c r="G839" s="4">
        <v>16</v>
      </c>
      <c r="H839" s="4">
        <v>36379</v>
      </c>
      <c r="I839" s="4">
        <f t="shared" si="13"/>
        <v>582064</v>
      </c>
    </row>
    <row r="840" spans="1:9" x14ac:dyDescent="0.3">
      <c r="A840" s="1">
        <v>839</v>
      </c>
      <c r="B840" s="2" t="s">
        <v>851</v>
      </c>
      <c r="C840" s="3">
        <v>45765</v>
      </c>
      <c r="D840" s="4" t="s">
        <v>5</v>
      </c>
      <c r="E840" s="4" t="s">
        <v>20</v>
      </c>
      <c r="F840" s="4" t="s">
        <v>1027</v>
      </c>
      <c r="G840" s="4">
        <v>9</v>
      </c>
      <c r="H840" s="4">
        <v>69729</v>
      </c>
      <c r="I840" s="4">
        <f t="shared" si="13"/>
        <v>627561</v>
      </c>
    </row>
    <row r="841" spans="1:9" x14ac:dyDescent="0.3">
      <c r="A841" s="1">
        <v>840</v>
      </c>
      <c r="B841" s="2" t="s">
        <v>852</v>
      </c>
      <c r="C841" s="3">
        <v>45766</v>
      </c>
      <c r="D841" s="4" t="s">
        <v>7</v>
      </c>
      <c r="E841" s="4" t="s">
        <v>9</v>
      </c>
      <c r="F841" s="4" t="s">
        <v>1032</v>
      </c>
      <c r="G841" s="4">
        <v>9</v>
      </c>
      <c r="H841" s="4">
        <v>33378</v>
      </c>
      <c r="I841" s="4">
        <f t="shared" si="13"/>
        <v>300402</v>
      </c>
    </row>
    <row r="842" spans="1:9" x14ac:dyDescent="0.3">
      <c r="A842" s="1">
        <v>841</v>
      </c>
      <c r="B842" s="2" t="s">
        <v>853</v>
      </c>
      <c r="C842" s="3">
        <v>45767</v>
      </c>
      <c r="D842" s="4" t="s">
        <v>1</v>
      </c>
      <c r="E842" s="4" t="s">
        <v>24</v>
      </c>
      <c r="F842" s="4" t="s">
        <v>1027</v>
      </c>
      <c r="G842" s="4">
        <v>6</v>
      </c>
      <c r="H842" s="4">
        <v>59353</v>
      </c>
      <c r="I842" s="4">
        <f t="shared" si="13"/>
        <v>356118</v>
      </c>
    </row>
    <row r="843" spans="1:9" x14ac:dyDescent="0.3">
      <c r="A843" s="1">
        <v>842</v>
      </c>
      <c r="B843" s="2" t="s">
        <v>854</v>
      </c>
      <c r="C843" s="3">
        <v>45768</v>
      </c>
      <c r="D843" s="4" t="s">
        <v>5</v>
      </c>
      <c r="E843" s="4" t="s">
        <v>11</v>
      </c>
      <c r="F843" s="4" t="s">
        <v>1025</v>
      </c>
      <c r="G843" s="4">
        <v>11</v>
      </c>
      <c r="H843" s="4">
        <v>54996</v>
      </c>
      <c r="I843" s="4">
        <f t="shared" si="13"/>
        <v>604956</v>
      </c>
    </row>
    <row r="844" spans="1:9" x14ac:dyDescent="0.3">
      <c r="A844" s="1">
        <v>843</v>
      </c>
      <c r="B844" s="2" t="s">
        <v>855</v>
      </c>
      <c r="C844" s="3">
        <v>45769</v>
      </c>
      <c r="D844" s="4" t="s">
        <v>7</v>
      </c>
      <c r="E844" s="4" t="s">
        <v>24</v>
      </c>
      <c r="F844" s="4" t="s">
        <v>1028</v>
      </c>
      <c r="G844" s="4">
        <v>1</v>
      </c>
      <c r="H844" s="4">
        <v>19031</v>
      </c>
      <c r="I844" s="4">
        <f t="shared" si="13"/>
        <v>19031</v>
      </c>
    </row>
    <row r="845" spans="1:9" x14ac:dyDescent="0.3">
      <c r="A845" s="1">
        <v>844</v>
      </c>
      <c r="B845" s="2" t="s">
        <v>856</v>
      </c>
      <c r="C845" s="3">
        <v>45770</v>
      </c>
      <c r="D845" s="4" t="s">
        <v>1</v>
      </c>
      <c r="E845" s="4" t="s">
        <v>9</v>
      </c>
      <c r="F845" s="4" t="s">
        <v>12</v>
      </c>
      <c r="G845" s="4">
        <v>4</v>
      </c>
      <c r="H845" s="4">
        <v>70982</v>
      </c>
      <c r="I845" s="4">
        <f t="shared" si="13"/>
        <v>283928</v>
      </c>
    </row>
    <row r="846" spans="1:9" x14ac:dyDescent="0.3">
      <c r="A846" s="1">
        <v>845</v>
      </c>
      <c r="B846" s="2" t="s">
        <v>857</v>
      </c>
      <c r="C846" s="3">
        <v>45771</v>
      </c>
      <c r="D846" s="4" t="s">
        <v>7</v>
      </c>
      <c r="E846" s="4" t="s">
        <v>9</v>
      </c>
      <c r="F846" s="4" t="s">
        <v>1032</v>
      </c>
      <c r="G846" s="4">
        <v>13</v>
      </c>
      <c r="H846" s="4">
        <v>41683</v>
      </c>
      <c r="I846" s="4">
        <f t="shared" si="13"/>
        <v>541879</v>
      </c>
    </row>
    <row r="847" spans="1:9" x14ac:dyDescent="0.3">
      <c r="A847" s="1">
        <v>846</v>
      </c>
      <c r="B847" s="2" t="s">
        <v>858</v>
      </c>
      <c r="C847" s="3">
        <v>45772</v>
      </c>
      <c r="D847" s="4" t="s">
        <v>7</v>
      </c>
      <c r="E847" s="4" t="s">
        <v>11</v>
      </c>
      <c r="F847" s="4" t="s">
        <v>1025</v>
      </c>
      <c r="G847" s="4">
        <v>13</v>
      </c>
      <c r="H847" s="4">
        <v>22618</v>
      </c>
      <c r="I847" s="4">
        <f t="shared" si="13"/>
        <v>294034</v>
      </c>
    </row>
    <row r="848" spans="1:9" x14ac:dyDescent="0.3">
      <c r="A848" s="1">
        <v>847</v>
      </c>
      <c r="B848" s="2" t="s">
        <v>859</v>
      </c>
      <c r="C848" s="3">
        <v>45773</v>
      </c>
      <c r="D848" s="4" t="s">
        <v>19</v>
      </c>
      <c r="E848" s="4" t="s">
        <v>24</v>
      </c>
      <c r="F848" s="4" t="s">
        <v>1030</v>
      </c>
      <c r="G848" s="4">
        <v>13</v>
      </c>
      <c r="H848" s="4">
        <v>11587</v>
      </c>
      <c r="I848" s="4">
        <f t="shared" si="13"/>
        <v>150631</v>
      </c>
    </row>
    <row r="849" spans="1:9" x14ac:dyDescent="0.3">
      <c r="A849" s="1">
        <v>848</v>
      </c>
      <c r="B849" s="2" t="s">
        <v>860</v>
      </c>
      <c r="C849" s="3">
        <v>45774</v>
      </c>
      <c r="D849" s="4" t="s">
        <v>19</v>
      </c>
      <c r="E849" s="4" t="s">
        <v>9</v>
      </c>
      <c r="F849" s="4" t="s">
        <v>1028</v>
      </c>
      <c r="G849" s="4">
        <v>2</v>
      </c>
      <c r="H849" s="4">
        <v>67790</v>
      </c>
      <c r="I849" s="4">
        <f t="shared" si="13"/>
        <v>135580</v>
      </c>
    </row>
    <row r="850" spans="1:9" x14ac:dyDescent="0.3">
      <c r="A850" s="1">
        <v>849</v>
      </c>
      <c r="B850" s="2" t="s">
        <v>861</v>
      </c>
      <c r="C850" s="3">
        <v>45775</v>
      </c>
      <c r="D850" s="4" t="s">
        <v>1</v>
      </c>
      <c r="E850" s="4" t="s">
        <v>20</v>
      </c>
      <c r="F850" s="4" t="s">
        <v>12</v>
      </c>
      <c r="G850" s="4">
        <v>9</v>
      </c>
      <c r="H850" s="4">
        <v>36480</v>
      </c>
      <c r="I850" s="4">
        <f t="shared" si="13"/>
        <v>328320</v>
      </c>
    </row>
    <row r="851" spans="1:9" x14ac:dyDescent="0.3">
      <c r="A851" s="1">
        <v>850</v>
      </c>
      <c r="B851" s="2" t="s">
        <v>862</v>
      </c>
      <c r="C851" s="3">
        <v>45776</v>
      </c>
      <c r="D851" s="4" t="s">
        <v>19</v>
      </c>
      <c r="E851" s="4" t="s">
        <v>2</v>
      </c>
      <c r="F851" s="4" t="s">
        <v>1027</v>
      </c>
      <c r="G851" s="4">
        <v>8</v>
      </c>
      <c r="H851" s="4">
        <v>25527</v>
      </c>
      <c r="I851" s="4">
        <f t="shared" si="13"/>
        <v>204216</v>
      </c>
    </row>
    <row r="852" spans="1:9" x14ac:dyDescent="0.3">
      <c r="A852" s="1">
        <v>851</v>
      </c>
      <c r="B852" s="2" t="s">
        <v>863</v>
      </c>
      <c r="C852" s="3">
        <v>45777</v>
      </c>
      <c r="D852" s="4" t="s">
        <v>1</v>
      </c>
      <c r="E852" s="4" t="s">
        <v>2</v>
      </c>
      <c r="F852" s="4" t="s">
        <v>12</v>
      </c>
      <c r="G852" s="4">
        <v>7</v>
      </c>
      <c r="H852" s="4">
        <v>28569</v>
      </c>
      <c r="I852" s="4">
        <f t="shared" si="13"/>
        <v>199983</v>
      </c>
    </row>
    <row r="853" spans="1:9" x14ac:dyDescent="0.3">
      <c r="A853" s="1">
        <v>852</v>
      </c>
      <c r="B853" s="2" t="s">
        <v>864</v>
      </c>
      <c r="C853" s="3">
        <v>45778</v>
      </c>
      <c r="D853" s="4" t="s">
        <v>19</v>
      </c>
      <c r="E853" s="4" t="s">
        <v>2</v>
      </c>
      <c r="F853" s="4" t="s">
        <v>1030</v>
      </c>
      <c r="G853" s="4">
        <v>4</v>
      </c>
      <c r="H853" s="4">
        <v>16151</v>
      </c>
      <c r="I853" s="4">
        <f t="shared" si="13"/>
        <v>64604</v>
      </c>
    </row>
    <row r="854" spans="1:9" x14ac:dyDescent="0.3">
      <c r="A854" s="1">
        <v>853</v>
      </c>
      <c r="B854" s="2" t="s">
        <v>865</v>
      </c>
      <c r="C854" s="3">
        <v>45779</v>
      </c>
      <c r="D854" s="4" t="s">
        <v>7</v>
      </c>
      <c r="E854" s="4" t="s">
        <v>24</v>
      </c>
      <c r="F854" s="4" t="s">
        <v>1033</v>
      </c>
      <c r="G854" s="4">
        <v>18</v>
      </c>
      <c r="H854" s="4">
        <v>64174</v>
      </c>
      <c r="I854" s="4">
        <f t="shared" si="13"/>
        <v>1155132</v>
      </c>
    </row>
    <row r="855" spans="1:9" x14ac:dyDescent="0.3">
      <c r="A855" s="1">
        <v>854</v>
      </c>
      <c r="B855" s="2" t="s">
        <v>866</v>
      </c>
      <c r="C855" s="3">
        <v>45780</v>
      </c>
      <c r="D855" s="4" t="s">
        <v>1</v>
      </c>
      <c r="E855" s="4" t="s">
        <v>11</v>
      </c>
      <c r="F855" s="4" t="s">
        <v>1033</v>
      </c>
      <c r="G855" s="4">
        <v>3</v>
      </c>
      <c r="H855" s="4">
        <v>49739</v>
      </c>
      <c r="I855" s="4">
        <f t="shared" si="13"/>
        <v>149217</v>
      </c>
    </row>
    <row r="856" spans="1:9" x14ac:dyDescent="0.3">
      <c r="A856" s="1">
        <v>855</v>
      </c>
      <c r="B856" s="2" t="s">
        <v>867</v>
      </c>
      <c r="C856" s="3">
        <v>45781</v>
      </c>
      <c r="D856" s="4" t="s">
        <v>1</v>
      </c>
      <c r="E856" s="4" t="s">
        <v>9</v>
      </c>
      <c r="F856" s="4" t="s">
        <v>1028</v>
      </c>
      <c r="G856" s="4">
        <v>6</v>
      </c>
      <c r="H856" s="4">
        <v>37954</v>
      </c>
      <c r="I856" s="4">
        <f t="shared" si="13"/>
        <v>227724</v>
      </c>
    </row>
    <row r="857" spans="1:9" x14ac:dyDescent="0.3">
      <c r="A857" s="1">
        <v>856</v>
      </c>
      <c r="B857" s="2" t="s">
        <v>868</v>
      </c>
      <c r="C857" s="3">
        <v>45782</v>
      </c>
      <c r="D857" s="4" t="s">
        <v>7</v>
      </c>
      <c r="E857" s="4" t="s">
        <v>20</v>
      </c>
      <c r="F857" s="4" t="s">
        <v>1033</v>
      </c>
      <c r="G857" s="4">
        <v>12</v>
      </c>
      <c r="H857" s="4">
        <v>40303</v>
      </c>
      <c r="I857" s="4">
        <f t="shared" si="13"/>
        <v>483636</v>
      </c>
    </row>
    <row r="858" spans="1:9" x14ac:dyDescent="0.3">
      <c r="A858" s="1">
        <v>857</v>
      </c>
      <c r="B858" s="2" t="s">
        <v>869</v>
      </c>
      <c r="C858" s="3">
        <v>45783</v>
      </c>
      <c r="D858" s="4" t="s">
        <v>1</v>
      </c>
      <c r="E858" s="4" t="s">
        <v>20</v>
      </c>
      <c r="F858" s="4" t="s">
        <v>1028</v>
      </c>
      <c r="G858" s="4">
        <v>12</v>
      </c>
      <c r="H858" s="4">
        <v>39700</v>
      </c>
      <c r="I858" s="4">
        <f t="shared" si="13"/>
        <v>476400</v>
      </c>
    </row>
    <row r="859" spans="1:9" x14ac:dyDescent="0.3">
      <c r="A859" s="1">
        <v>858</v>
      </c>
      <c r="B859" s="2" t="s">
        <v>870</v>
      </c>
      <c r="C859" s="3">
        <v>45784</v>
      </c>
      <c r="D859" s="4" t="s">
        <v>1</v>
      </c>
      <c r="E859" s="4" t="s">
        <v>24</v>
      </c>
      <c r="F859" s="4" t="s">
        <v>1028</v>
      </c>
      <c r="G859" s="4">
        <v>8</v>
      </c>
      <c r="H859" s="4">
        <v>72568</v>
      </c>
      <c r="I859" s="4">
        <f t="shared" si="13"/>
        <v>580544</v>
      </c>
    </row>
    <row r="860" spans="1:9" x14ac:dyDescent="0.3">
      <c r="A860" s="1">
        <v>859</v>
      </c>
      <c r="B860" s="2" t="s">
        <v>871</v>
      </c>
      <c r="C860" s="3">
        <v>45785</v>
      </c>
      <c r="D860" s="4" t="s">
        <v>19</v>
      </c>
      <c r="E860" s="4" t="s">
        <v>2</v>
      </c>
      <c r="F860" s="4" t="s">
        <v>1028</v>
      </c>
      <c r="G860" s="4">
        <v>1</v>
      </c>
      <c r="H860" s="4">
        <v>71788</v>
      </c>
      <c r="I860" s="4">
        <f t="shared" si="13"/>
        <v>71788</v>
      </c>
    </row>
    <row r="861" spans="1:9" x14ac:dyDescent="0.3">
      <c r="A861" s="1">
        <v>860</v>
      </c>
      <c r="B861" s="2" t="s">
        <v>872</v>
      </c>
      <c r="C861" s="3">
        <v>45786</v>
      </c>
      <c r="D861" s="4" t="s">
        <v>1</v>
      </c>
      <c r="E861" s="4" t="s">
        <v>24</v>
      </c>
      <c r="F861" s="4" t="s">
        <v>1027</v>
      </c>
      <c r="G861" s="4">
        <v>4</v>
      </c>
      <c r="H861" s="4">
        <v>42842</v>
      </c>
      <c r="I861" s="4">
        <f t="shared" si="13"/>
        <v>171368</v>
      </c>
    </row>
    <row r="862" spans="1:9" x14ac:dyDescent="0.3">
      <c r="A862" s="1">
        <v>861</v>
      </c>
      <c r="B862" s="2" t="s">
        <v>873</v>
      </c>
      <c r="C862" s="3">
        <v>45787</v>
      </c>
      <c r="D862" s="4" t="s">
        <v>5</v>
      </c>
      <c r="E862" s="4" t="s">
        <v>11</v>
      </c>
      <c r="F862" s="4" t="s">
        <v>1025</v>
      </c>
      <c r="G862" s="4">
        <v>11</v>
      </c>
      <c r="H862" s="4">
        <v>18900</v>
      </c>
      <c r="I862" s="4">
        <f t="shared" si="13"/>
        <v>207900</v>
      </c>
    </row>
    <row r="863" spans="1:9" x14ac:dyDescent="0.3">
      <c r="A863" s="1">
        <v>862</v>
      </c>
      <c r="B863" s="2" t="s">
        <v>874</v>
      </c>
      <c r="C863" s="3">
        <v>45788</v>
      </c>
      <c r="D863" s="4" t="s">
        <v>7</v>
      </c>
      <c r="E863" s="4" t="s">
        <v>11</v>
      </c>
      <c r="F863" s="4" t="s">
        <v>1028</v>
      </c>
      <c r="G863" s="4">
        <v>3</v>
      </c>
      <c r="H863" s="4">
        <v>6881</v>
      </c>
      <c r="I863" s="4">
        <f t="shared" si="13"/>
        <v>20643</v>
      </c>
    </row>
    <row r="864" spans="1:9" x14ac:dyDescent="0.3">
      <c r="A864" s="1">
        <v>863</v>
      </c>
      <c r="B864" s="2" t="s">
        <v>875</v>
      </c>
      <c r="C864" s="3">
        <v>45789</v>
      </c>
      <c r="D864" s="4" t="s">
        <v>19</v>
      </c>
      <c r="E864" s="4" t="s">
        <v>9</v>
      </c>
      <c r="F864" s="4" t="s">
        <v>1028</v>
      </c>
      <c r="G864" s="4">
        <v>13</v>
      </c>
      <c r="H864" s="4">
        <v>38037</v>
      </c>
      <c r="I864" s="4">
        <f t="shared" si="13"/>
        <v>494481</v>
      </c>
    </row>
    <row r="865" spans="1:9" x14ac:dyDescent="0.3">
      <c r="A865" s="1">
        <v>864</v>
      </c>
      <c r="B865" s="2" t="s">
        <v>876</v>
      </c>
      <c r="C865" s="3">
        <v>45790</v>
      </c>
      <c r="D865" s="4" t="s">
        <v>19</v>
      </c>
      <c r="E865" s="4" t="s">
        <v>9</v>
      </c>
      <c r="F865" s="4" t="s">
        <v>1025</v>
      </c>
      <c r="G865" s="4">
        <v>17</v>
      </c>
      <c r="H865" s="4">
        <v>6630</v>
      </c>
      <c r="I865" s="4">
        <f t="shared" si="13"/>
        <v>112710</v>
      </c>
    </row>
    <row r="866" spans="1:9" x14ac:dyDescent="0.3">
      <c r="A866" s="1">
        <v>865</v>
      </c>
      <c r="B866" s="2" t="s">
        <v>877</v>
      </c>
      <c r="C866" s="3">
        <v>45791</v>
      </c>
      <c r="D866" s="4" t="s">
        <v>5</v>
      </c>
      <c r="E866" s="4" t="s">
        <v>11</v>
      </c>
      <c r="F866" s="4" t="s">
        <v>12</v>
      </c>
      <c r="G866" s="4">
        <v>10</v>
      </c>
      <c r="H866" s="4">
        <v>25789</v>
      </c>
      <c r="I866" s="4">
        <f t="shared" si="13"/>
        <v>257890</v>
      </c>
    </row>
    <row r="867" spans="1:9" x14ac:dyDescent="0.3">
      <c r="A867" s="1">
        <v>866</v>
      </c>
      <c r="B867" s="2" t="s">
        <v>878</v>
      </c>
      <c r="C867" s="3">
        <v>45792</v>
      </c>
      <c r="D867" s="4" t="s">
        <v>7</v>
      </c>
      <c r="E867" s="4" t="s">
        <v>11</v>
      </c>
      <c r="F867" s="4" t="s">
        <v>1028</v>
      </c>
      <c r="G867" s="4">
        <v>12</v>
      </c>
      <c r="H867" s="4">
        <v>51151</v>
      </c>
      <c r="I867" s="4">
        <f t="shared" si="13"/>
        <v>613812</v>
      </c>
    </row>
    <row r="868" spans="1:9" x14ac:dyDescent="0.3">
      <c r="A868" s="1">
        <v>867</v>
      </c>
      <c r="B868" s="2" t="s">
        <v>879</v>
      </c>
      <c r="C868" s="3">
        <v>45793</v>
      </c>
      <c r="D868" s="4" t="s">
        <v>7</v>
      </c>
      <c r="E868" s="4" t="s">
        <v>11</v>
      </c>
      <c r="F868" s="4" t="s">
        <v>1027</v>
      </c>
      <c r="G868" s="4">
        <v>15</v>
      </c>
      <c r="H868" s="4">
        <v>53920</v>
      </c>
      <c r="I868" s="4">
        <f t="shared" si="13"/>
        <v>808800</v>
      </c>
    </row>
    <row r="869" spans="1:9" x14ac:dyDescent="0.3">
      <c r="A869" s="1">
        <v>868</v>
      </c>
      <c r="B869" s="2" t="s">
        <v>880</v>
      </c>
      <c r="C869" s="3">
        <v>45794</v>
      </c>
      <c r="D869" s="4" t="s">
        <v>19</v>
      </c>
      <c r="E869" s="4" t="s">
        <v>24</v>
      </c>
      <c r="F869" s="4" t="s">
        <v>1033</v>
      </c>
      <c r="G869" s="4">
        <v>10</v>
      </c>
      <c r="H869" s="4">
        <v>72231</v>
      </c>
      <c r="I869" s="4">
        <f t="shared" si="13"/>
        <v>722310</v>
      </c>
    </row>
    <row r="870" spans="1:9" x14ac:dyDescent="0.3">
      <c r="A870" s="1">
        <v>869</v>
      </c>
      <c r="B870" s="2" t="s">
        <v>881</v>
      </c>
      <c r="C870" s="3">
        <v>45795</v>
      </c>
      <c r="D870" s="4" t="s">
        <v>1</v>
      </c>
      <c r="E870" s="4" t="s">
        <v>11</v>
      </c>
      <c r="F870" s="4" t="s">
        <v>1033</v>
      </c>
      <c r="G870" s="4">
        <v>14</v>
      </c>
      <c r="H870" s="4">
        <v>8262</v>
      </c>
      <c r="I870" s="4">
        <f t="shared" si="13"/>
        <v>115668</v>
      </c>
    </row>
    <row r="871" spans="1:9" x14ac:dyDescent="0.3">
      <c r="A871" s="1">
        <v>870</v>
      </c>
      <c r="B871" s="2" t="s">
        <v>882</v>
      </c>
      <c r="C871" s="3">
        <v>45796</v>
      </c>
      <c r="D871" s="4" t="s">
        <v>19</v>
      </c>
      <c r="E871" s="4" t="s">
        <v>20</v>
      </c>
      <c r="F871" s="4" t="s">
        <v>1030</v>
      </c>
      <c r="G871" s="4">
        <v>13</v>
      </c>
      <c r="H871" s="4">
        <v>71981</v>
      </c>
      <c r="I871" s="4">
        <f t="shared" si="13"/>
        <v>935753</v>
      </c>
    </row>
    <row r="872" spans="1:9" x14ac:dyDescent="0.3">
      <c r="A872" s="1">
        <v>871</v>
      </c>
      <c r="B872" s="2" t="s">
        <v>883</v>
      </c>
      <c r="C872" s="3">
        <v>45797</v>
      </c>
      <c r="D872" s="4" t="s">
        <v>7</v>
      </c>
      <c r="E872" s="4" t="s">
        <v>2</v>
      </c>
      <c r="F872" s="4" t="s">
        <v>1031</v>
      </c>
      <c r="G872" s="4">
        <v>5</v>
      </c>
      <c r="H872" s="4">
        <v>59722</v>
      </c>
      <c r="I872" s="4">
        <f t="shared" si="13"/>
        <v>298610</v>
      </c>
    </row>
    <row r="873" spans="1:9" x14ac:dyDescent="0.3">
      <c r="A873" s="1">
        <v>872</v>
      </c>
      <c r="B873" s="2" t="s">
        <v>884</v>
      </c>
      <c r="C873" s="3">
        <v>45798</v>
      </c>
      <c r="D873" s="4" t="s">
        <v>5</v>
      </c>
      <c r="E873" s="4" t="s">
        <v>11</v>
      </c>
      <c r="F873" s="4" t="s">
        <v>1033</v>
      </c>
      <c r="G873" s="4">
        <v>6</v>
      </c>
      <c r="H873" s="4">
        <v>55818</v>
      </c>
      <c r="I873" s="4">
        <f t="shared" si="13"/>
        <v>334908</v>
      </c>
    </row>
    <row r="874" spans="1:9" x14ac:dyDescent="0.3">
      <c r="A874" s="1">
        <v>873</v>
      </c>
      <c r="B874" s="2" t="s">
        <v>885</v>
      </c>
      <c r="C874" s="3">
        <v>45799</v>
      </c>
      <c r="D874" s="4" t="s">
        <v>19</v>
      </c>
      <c r="E874" s="4" t="s">
        <v>2</v>
      </c>
      <c r="F874" s="4" t="s">
        <v>1033</v>
      </c>
      <c r="G874" s="4">
        <v>2</v>
      </c>
      <c r="H874" s="4">
        <v>34932</v>
      </c>
      <c r="I874" s="4">
        <f t="shared" si="13"/>
        <v>69864</v>
      </c>
    </row>
    <row r="875" spans="1:9" x14ac:dyDescent="0.3">
      <c r="A875" s="1">
        <v>874</v>
      </c>
      <c r="B875" s="2" t="s">
        <v>886</v>
      </c>
      <c r="C875" s="3">
        <v>45800</v>
      </c>
      <c r="D875" s="4" t="s">
        <v>7</v>
      </c>
      <c r="E875" s="4" t="s">
        <v>24</v>
      </c>
      <c r="F875" s="4" t="s">
        <v>1027</v>
      </c>
      <c r="G875" s="4">
        <v>17</v>
      </c>
      <c r="H875" s="4">
        <v>11901</v>
      </c>
      <c r="I875" s="4">
        <f t="shared" si="13"/>
        <v>202317</v>
      </c>
    </row>
    <row r="876" spans="1:9" x14ac:dyDescent="0.3">
      <c r="A876" s="1">
        <v>875</v>
      </c>
      <c r="B876" s="2" t="s">
        <v>887</v>
      </c>
      <c r="C876" s="3">
        <v>45801</v>
      </c>
      <c r="D876" s="4" t="s">
        <v>19</v>
      </c>
      <c r="E876" s="4" t="s">
        <v>2</v>
      </c>
      <c r="F876" s="4" t="s">
        <v>1025</v>
      </c>
      <c r="G876" s="4">
        <v>4</v>
      </c>
      <c r="H876" s="4">
        <v>13597</v>
      </c>
      <c r="I876" s="4">
        <f t="shared" si="13"/>
        <v>54388</v>
      </c>
    </row>
    <row r="877" spans="1:9" x14ac:dyDescent="0.3">
      <c r="A877" s="1">
        <v>876</v>
      </c>
      <c r="B877" s="2" t="s">
        <v>888</v>
      </c>
      <c r="C877" s="3">
        <v>45802</v>
      </c>
      <c r="D877" s="4" t="s">
        <v>1</v>
      </c>
      <c r="E877" s="4" t="s">
        <v>24</v>
      </c>
      <c r="F877" s="4" t="s">
        <v>1031</v>
      </c>
      <c r="G877" s="4">
        <v>14</v>
      </c>
      <c r="H877" s="4">
        <v>68909</v>
      </c>
      <c r="I877" s="4">
        <f t="shared" si="13"/>
        <v>964726</v>
      </c>
    </row>
    <row r="878" spans="1:9" x14ac:dyDescent="0.3">
      <c r="A878" s="1">
        <v>877</v>
      </c>
      <c r="B878" s="2" t="s">
        <v>889</v>
      </c>
      <c r="C878" s="3">
        <v>45803</v>
      </c>
      <c r="D878" s="4" t="s">
        <v>19</v>
      </c>
      <c r="E878" s="4" t="s">
        <v>20</v>
      </c>
      <c r="F878" s="4" t="s">
        <v>1025</v>
      </c>
      <c r="G878" s="4">
        <v>10</v>
      </c>
      <c r="H878" s="4">
        <v>13263</v>
      </c>
      <c r="I878" s="4">
        <f t="shared" si="13"/>
        <v>132630</v>
      </c>
    </row>
    <row r="879" spans="1:9" x14ac:dyDescent="0.3">
      <c r="A879" s="1">
        <v>878</v>
      </c>
      <c r="B879" s="2" t="s">
        <v>890</v>
      </c>
      <c r="C879" s="3">
        <v>45804</v>
      </c>
      <c r="D879" s="4" t="s">
        <v>19</v>
      </c>
      <c r="E879" s="4" t="s">
        <v>24</v>
      </c>
      <c r="F879" s="4" t="s">
        <v>1027</v>
      </c>
      <c r="G879" s="4">
        <v>3</v>
      </c>
      <c r="H879" s="4">
        <v>68293</v>
      </c>
      <c r="I879" s="4">
        <f t="shared" si="13"/>
        <v>204879</v>
      </c>
    </row>
    <row r="880" spans="1:9" x14ac:dyDescent="0.3">
      <c r="A880" s="1">
        <v>879</v>
      </c>
      <c r="B880" s="2" t="s">
        <v>891</v>
      </c>
      <c r="C880" s="3">
        <v>45805</v>
      </c>
      <c r="D880" s="4" t="s">
        <v>7</v>
      </c>
      <c r="E880" s="4" t="s">
        <v>24</v>
      </c>
      <c r="F880" s="4" t="s">
        <v>1033</v>
      </c>
      <c r="G880" s="4">
        <v>3</v>
      </c>
      <c r="H880" s="4">
        <v>30805</v>
      </c>
      <c r="I880" s="4">
        <f t="shared" si="13"/>
        <v>92415</v>
      </c>
    </row>
    <row r="881" spans="1:9" x14ac:dyDescent="0.3">
      <c r="A881" s="1">
        <v>880</v>
      </c>
      <c r="B881" s="2" t="s">
        <v>892</v>
      </c>
      <c r="C881" s="3">
        <v>45806</v>
      </c>
      <c r="D881" s="4" t="s">
        <v>7</v>
      </c>
      <c r="E881" s="4" t="s">
        <v>9</v>
      </c>
      <c r="F881" s="4" t="s">
        <v>1028</v>
      </c>
      <c r="G881" s="4">
        <v>15</v>
      </c>
      <c r="H881" s="4">
        <v>16874</v>
      </c>
      <c r="I881" s="4">
        <f t="shared" si="13"/>
        <v>253110</v>
      </c>
    </row>
    <row r="882" spans="1:9" x14ac:dyDescent="0.3">
      <c r="A882" s="1">
        <v>881</v>
      </c>
      <c r="B882" s="2" t="s">
        <v>893</v>
      </c>
      <c r="C882" s="3">
        <v>45807</v>
      </c>
      <c r="D882" s="4" t="s">
        <v>7</v>
      </c>
      <c r="E882" s="4" t="s">
        <v>11</v>
      </c>
      <c r="F882" s="4" t="s">
        <v>1025</v>
      </c>
      <c r="G882" s="4">
        <v>6</v>
      </c>
      <c r="H882" s="4">
        <v>19079</v>
      </c>
      <c r="I882" s="4">
        <f t="shared" si="13"/>
        <v>114474</v>
      </c>
    </row>
    <row r="883" spans="1:9" x14ac:dyDescent="0.3">
      <c r="A883" s="1">
        <v>882</v>
      </c>
      <c r="B883" s="2" t="s">
        <v>894</v>
      </c>
      <c r="C883" s="3">
        <v>45808</v>
      </c>
      <c r="D883" s="4" t="s">
        <v>19</v>
      </c>
      <c r="E883" s="4" t="s">
        <v>11</v>
      </c>
      <c r="F883" s="4" t="s">
        <v>1033</v>
      </c>
      <c r="G883" s="4">
        <v>17</v>
      </c>
      <c r="H883" s="4">
        <v>54850</v>
      </c>
      <c r="I883" s="4">
        <f t="shared" si="13"/>
        <v>932450</v>
      </c>
    </row>
    <row r="884" spans="1:9" x14ac:dyDescent="0.3">
      <c r="A884" s="1">
        <v>883</v>
      </c>
      <c r="B884" s="2" t="s">
        <v>895</v>
      </c>
      <c r="C884" s="3">
        <v>45809</v>
      </c>
      <c r="D884" s="4" t="s">
        <v>1</v>
      </c>
      <c r="E884" s="4" t="s">
        <v>20</v>
      </c>
      <c r="F884" s="4" t="s">
        <v>1033</v>
      </c>
      <c r="G884" s="4">
        <v>12</v>
      </c>
      <c r="H884" s="4">
        <v>14018</v>
      </c>
      <c r="I884" s="4">
        <f t="shared" si="13"/>
        <v>168216</v>
      </c>
    </row>
    <row r="885" spans="1:9" x14ac:dyDescent="0.3">
      <c r="A885" s="1">
        <v>884</v>
      </c>
      <c r="B885" s="2" t="s">
        <v>896</v>
      </c>
      <c r="C885" s="3">
        <v>45810</v>
      </c>
      <c r="D885" s="4" t="s">
        <v>5</v>
      </c>
      <c r="E885" s="4" t="s">
        <v>20</v>
      </c>
      <c r="F885" s="4" t="s">
        <v>12</v>
      </c>
      <c r="G885" s="4">
        <v>11</v>
      </c>
      <c r="H885" s="4">
        <v>54500</v>
      </c>
      <c r="I885" s="4">
        <f t="shared" si="13"/>
        <v>599500</v>
      </c>
    </row>
    <row r="886" spans="1:9" x14ac:dyDescent="0.3">
      <c r="A886" s="1">
        <v>885</v>
      </c>
      <c r="B886" s="2" t="s">
        <v>897</v>
      </c>
      <c r="C886" s="3">
        <v>45811</v>
      </c>
      <c r="D886" s="4" t="s">
        <v>5</v>
      </c>
      <c r="E886" s="4" t="s">
        <v>11</v>
      </c>
      <c r="F886" s="4" t="s">
        <v>1025</v>
      </c>
      <c r="G886" s="4">
        <v>4</v>
      </c>
      <c r="H886" s="4">
        <v>17100</v>
      </c>
      <c r="I886" s="4">
        <f t="shared" si="13"/>
        <v>68400</v>
      </c>
    </row>
    <row r="887" spans="1:9" x14ac:dyDescent="0.3">
      <c r="A887" s="1">
        <v>886</v>
      </c>
      <c r="B887" s="2" t="s">
        <v>898</v>
      </c>
      <c r="C887" s="3">
        <v>45812</v>
      </c>
      <c r="D887" s="4" t="s">
        <v>7</v>
      </c>
      <c r="E887" s="4" t="s">
        <v>9</v>
      </c>
      <c r="F887" s="4" t="s">
        <v>1028</v>
      </c>
      <c r="G887" s="4">
        <v>6</v>
      </c>
      <c r="H887" s="4">
        <v>62021</v>
      </c>
      <c r="I887" s="4">
        <f t="shared" si="13"/>
        <v>372126</v>
      </c>
    </row>
    <row r="888" spans="1:9" x14ac:dyDescent="0.3">
      <c r="A888" s="1">
        <v>887</v>
      </c>
      <c r="B888" s="2" t="s">
        <v>899</v>
      </c>
      <c r="C888" s="3">
        <v>45813</v>
      </c>
      <c r="D888" s="4" t="s">
        <v>7</v>
      </c>
      <c r="E888" s="4" t="s">
        <v>11</v>
      </c>
      <c r="F888" s="4" t="s">
        <v>1025</v>
      </c>
      <c r="G888" s="4">
        <v>1</v>
      </c>
      <c r="H888" s="4">
        <v>24800</v>
      </c>
      <c r="I888" s="4">
        <f t="shared" si="13"/>
        <v>24800</v>
      </c>
    </row>
    <row r="889" spans="1:9" x14ac:dyDescent="0.3">
      <c r="A889" s="1">
        <v>888</v>
      </c>
      <c r="B889" s="2" t="s">
        <v>900</v>
      </c>
      <c r="C889" s="3">
        <v>45814</v>
      </c>
      <c r="D889" s="4" t="s">
        <v>19</v>
      </c>
      <c r="E889" s="4" t="s">
        <v>9</v>
      </c>
      <c r="F889" s="4" t="s">
        <v>1033</v>
      </c>
      <c r="G889" s="4">
        <v>16</v>
      </c>
      <c r="H889" s="4">
        <v>68400</v>
      </c>
      <c r="I889" s="4">
        <f t="shared" si="13"/>
        <v>1094400</v>
      </c>
    </row>
    <row r="890" spans="1:9" x14ac:dyDescent="0.3">
      <c r="A890" s="1">
        <v>889</v>
      </c>
      <c r="B890" s="2" t="s">
        <v>901</v>
      </c>
      <c r="C890" s="3">
        <v>45815</v>
      </c>
      <c r="D890" s="4" t="s">
        <v>5</v>
      </c>
      <c r="E890" s="4" t="s">
        <v>20</v>
      </c>
      <c r="F890" s="4" t="s">
        <v>1028</v>
      </c>
      <c r="G890" s="4">
        <v>15</v>
      </c>
      <c r="H890" s="4">
        <v>34437</v>
      </c>
      <c r="I890" s="4">
        <f t="shared" si="13"/>
        <v>516555</v>
      </c>
    </row>
    <row r="891" spans="1:9" x14ac:dyDescent="0.3">
      <c r="A891" s="1">
        <v>890</v>
      </c>
      <c r="B891" s="2" t="s">
        <v>902</v>
      </c>
      <c r="C891" s="3">
        <v>45816</v>
      </c>
      <c r="D891" s="4" t="s">
        <v>7</v>
      </c>
      <c r="E891" s="4" t="s">
        <v>2</v>
      </c>
      <c r="F891" s="4" t="s">
        <v>1027</v>
      </c>
      <c r="G891" s="4">
        <v>17</v>
      </c>
      <c r="H891" s="4">
        <v>51675</v>
      </c>
      <c r="I891" s="4">
        <f t="shared" si="13"/>
        <v>878475</v>
      </c>
    </row>
    <row r="892" spans="1:9" x14ac:dyDescent="0.3">
      <c r="A892" s="1">
        <v>891</v>
      </c>
      <c r="B892" s="2" t="s">
        <v>903</v>
      </c>
      <c r="C892" s="3">
        <v>45817</v>
      </c>
      <c r="D892" s="4" t="s">
        <v>1</v>
      </c>
      <c r="E892" s="4" t="s">
        <v>20</v>
      </c>
      <c r="F892" s="4" t="s">
        <v>12</v>
      </c>
      <c r="G892" s="4">
        <v>8</v>
      </c>
      <c r="H892" s="4">
        <v>24942</v>
      </c>
      <c r="I892" s="4">
        <f t="shared" si="13"/>
        <v>199536</v>
      </c>
    </row>
    <row r="893" spans="1:9" x14ac:dyDescent="0.3">
      <c r="A893" s="1">
        <v>892</v>
      </c>
      <c r="B893" s="2" t="s">
        <v>904</v>
      </c>
      <c r="C893" s="3">
        <v>45818</v>
      </c>
      <c r="D893" s="4" t="s">
        <v>1</v>
      </c>
      <c r="E893" s="4" t="s">
        <v>20</v>
      </c>
      <c r="F893" s="4" t="s">
        <v>1033</v>
      </c>
      <c r="G893" s="4">
        <v>12</v>
      </c>
      <c r="H893" s="4">
        <v>25862</v>
      </c>
      <c r="I893" s="4">
        <f t="shared" si="13"/>
        <v>310344</v>
      </c>
    </row>
    <row r="894" spans="1:9" x14ac:dyDescent="0.3">
      <c r="A894" s="1">
        <v>893</v>
      </c>
      <c r="B894" s="2" t="s">
        <v>905</v>
      </c>
      <c r="C894" s="3">
        <v>45819</v>
      </c>
      <c r="D894" s="4" t="s">
        <v>7</v>
      </c>
      <c r="E894" s="4" t="s">
        <v>24</v>
      </c>
      <c r="F894" s="4" t="s">
        <v>1031</v>
      </c>
      <c r="G894" s="4">
        <v>10</v>
      </c>
      <c r="H894" s="4">
        <v>16669</v>
      </c>
      <c r="I894" s="4">
        <f t="shared" si="13"/>
        <v>166690</v>
      </c>
    </row>
    <row r="895" spans="1:9" x14ac:dyDescent="0.3">
      <c r="A895" s="1">
        <v>894</v>
      </c>
      <c r="B895" s="2" t="s">
        <v>906</v>
      </c>
      <c r="C895" s="3">
        <v>45820</v>
      </c>
      <c r="D895" s="4" t="s">
        <v>7</v>
      </c>
      <c r="E895" s="4" t="s">
        <v>24</v>
      </c>
      <c r="F895" s="4" t="s">
        <v>1031</v>
      </c>
      <c r="G895" s="4">
        <v>15</v>
      </c>
      <c r="H895" s="4">
        <v>58772</v>
      </c>
      <c r="I895" s="4">
        <f t="shared" si="13"/>
        <v>881580</v>
      </c>
    </row>
    <row r="896" spans="1:9" x14ac:dyDescent="0.3">
      <c r="A896" s="1">
        <v>895</v>
      </c>
      <c r="B896" s="2" t="s">
        <v>907</v>
      </c>
      <c r="C896" s="3">
        <v>45821</v>
      </c>
      <c r="D896" s="4" t="s">
        <v>5</v>
      </c>
      <c r="E896" s="4" t="s">
        <v>1041</v>
      </c>
      <c r="F896" s="4" t="s">
        <v>12</v>
      </c>
      <c r="G896" s="4">
        <v>9</v>
      </c>
      <c r="H896" s="4">
        <v>20916</v>
      </c>
      <c r="I896" s="4">
        <f t="shared" si="13"/>
        <v>188244</v>
      </c>
    </row>
    <row r="897" spans="1:9" x14ac:dyDescent="0.3">
      <c r="A897" s="1">
        <v>896</v>
      </c>
      <c r="B897" s="2" t="s">
        <v>908</v>
      </c>
      <c r="C897" s="3">
        <v>45822</v>
      </c>
      <c r="D897" s="4" t="s">
        <v>5</v>
      </c>
      <c r="E897" s="4" t="s">
        <v>1041</v>
      </c>
      <c r="F897" s="4" t="s">
        <v>1027</v>
      </c>
      <c r="G897" s="4">
        <v>2</v>
      </c>
      <c r="H897" s="4">
        <v>15878</v>
      </c>
      <c r="I897" s="4">
        <f t="shared" si="13"/>
        <v>31756</v>
      </c>
    </row>
    <row r="898" spans="1:9" x14ac:dyDescent="0.3">
      <c r="A898" s="1">
        <v>897</v>
      </c>
      <c r="B898" s="2" t="s">
        <v>909</v>
      </c>
      <c r="C898" s="3">
        <v>45823</v>
      </c>
      <c r="D898" s="4" t="s">
        <v>19</v>
      </c>
      <c r="E898" s="4" t="s">
        <v>9</v>
      </c>
      <c r="F898" s="4" t="s">
        <v>1033</v>
      </c>
      <c r="G898" s="4">
        <v>5</v>
      </c>
      <c r="H898" s="4">
        <v>7985</v>
      </c>
      <c r="I898" s="4">
        <f t="shared" si="13"/>
        <v>39925</v>
      </c>
    </row>
    <row r="899" spans="1:9" x14ac:dyDescent="0.3">
      <c r="A899" s="1">
        <v>898</v>
      </c>
      <c r="B899" s="2" t="s">
        <v>910</v>
      </c>
      <c r="C899" s="3">
        <v>45824</v>
      </c>
      <c r="D899" s="4" t="s">
        <v>5</v>
      </c>
      <c r="E899" s="4" t="s">
        <v>11</v>
      </c>
      <c r="F899" s="4" t="s">
        <v>1025</v>
      </c>
      <c r="G899" s="4">
        <v>6</v>
      </c>
      <c r="H899" s="4">
        <v>46235</v>
      </c>
      <c r="I899" s="4">
        <f t="shared" ref="I899:I962" si="14">G899*H899</f>
        <v>277410</v>
      </c>
    </row>
    <row r="900" spans="1:9" x14ac:dyDescent="0.3">
      <c r="A900" s="1">
        <v>899</v>
      </c>
      <c r="B900" s="2" t="s">
        <v>911</v>
      </c>
      <c r="C900" s="3">
        <v>45825</v>
      </c>
      <c r="D900" s="4" t="s">
        <v>1</v>
      </c>
      <c r="E900" s="4" t="s">
        <v>2</v>
      </c>
      <c r="F900" s="4" t="s">
        <v>12</v>
      </c>
      <c r="G900" s="4">
        <v>7</v>
      </c>
      <c r="H900" s="4">
        <v>23931</v>
      </c>
      <c r="I900" s="4">
        <f t="shared" si="14"/>
        <v>167517</v>
      </c>
    </row>
    <row r="901" spans="1:9" x14ac:dyDescent="0.3">
      <c r="A901" s="1">
        <v>900</v>
      </c>
      <c r="B901" s="2" t="s">
        <v>912</v>
      </c>
      <c r="C901" s="3">
        <v>45826</v>
      </c>
      <c r="D901" s="4" t="s">
        <v>1</v>
      </c>
      <c r="E901" s="4" t="s">
        <v>20</v>
      </c>
      <c r="F901" s="4" t="s">
        <v>1027</v>
      </c>
      <c r="G901" s="4">
        <v>1</v>
      </c>
      <c r="H901" s="4">
        <v>5336</v>
      </c>
      <c r="I901" s="4">
        <f t="shared" si="14"/>
        <v>5336</v>
      </c>
    </row>
    <row r="902" spans="1:9" x14ac:dyDescent="0.3">
      <c r="A902" s="1">
        <v>901</v>
      </c>
      <c r="B902" s="2" t="s">
        <v>913</v>
      </c>
      <c r="C902" s="3">
        <v>45827</v>
      </c>
      <c r="D902" s="4" t="s">
        <v>7</v>
      </c>
      <c r="E902" s="4" t="s">
        <v>9</v>
      </c>
      <c r="F902" s="4" t="s">
        <v>1025</v>
      </c>
      <c r="G902" s="4">
        <v>7</v>
      </c>
      <c r="H902" s="4">
        <v>47933</v>
      </c>
      <c r="I902" s="4">
        <f t="shared" si="14"/>
        <v>335531</v>
      </c>
    </row>
    <row r="903" spans="1:9" x14ac:dyDescent="0.3">
      <c r="A903" s="1">
        <v>902</v>
      </c>
      <c r="B903" s="2" t="s">
        <v>914</v>
      </c>
      <c r="C903" s="3">
        <v>45828</v>
      </c>
      <c r="D903" s="4" t="s">
        <v>5</v>
      </c>
      <c r="E903" s="4" t="s">
        <v>2</v>
      </c>
      <c r="F903" s="4" t="s">
        <v>1031</v>
      </c>
      <c r="G903" s="4">
        <v>12</v>
      </c>
      <c r="H903" s="4">
        <v>50536</v>
      </c>
      <c r="I903" s="4">
        <f t="shared" si="14"/>
        <v>606432</v>
      </c>
    </row>
    <row r="904" spans="1:9" x14ac:dyDescent="0.3">
      <c r="A904" s="1">
        <v>903</v>
      </c>
      <c r="B904" s="2" t="s">
        <v>915</v>
      </c>
      <c r="C904" s="3">
        <v>45829</v>
      </c>
      <c r="D904" s="4" t="s">
        <v>19</v>
      </c>
      <c r="E904" s="4" t="s">
        <v>9</v>
      </c>
      <c r="F904" s="4" t="s">
        <v>1031</v>
      </c>
      <c r="G904" s="4">
        <v>16</v>
      </c>
      <c r="H904" s="4">
        <v>74504</v>
      </c>
      <c r="I904" s="4">
        <f t="shared" si="14"/>
        <v>1192064</v>
      </c>
    </row>
    <row r="905" spans="1:9" x14ac:dyDescent="0.3">
      <c r="A905" s="1">
        <v>904</v>
      </c>
      <c r="B905" s="2" t="s">
        <v>916</v>
      </c>
      <c r="C905" s="3">
        <v>45830</v>
      </c>
      <c r="D905" s="4" t="s">
        <v>1</v>
      </c>
      <c r="E905" s="4" t="s">
        <v>9</v>
      </c>
      <c r="F905" s="4" t="s">
        <v>1025</v>
      </c>
      <c r="G905" s="4">
        <v>16</v>
      </c>
      <c r="H905" s="4">
        <v>56148</v>
      </c>
      <c r="I905" s="4">
        <f t="shared" si="14"/>
        <v>898368</v>
      </c>
    </row>
    <row r="906" spans="1:9" x14ac:dyDescent="0.3">
      <c r="A906" s="1">
        <v>905</v>
      </c>
      <c r="B906" s="2" t="s">
        <v>917</v>
      </c>
      <c r="C906" s="3">
        <v>45831</v>
      </c>
      <c r="D906" s="4" t="s">
        <v>1</v>
      </c>
      <c r="E906" s="4" t="s">
        <v>20</v>
      </c>
      <c r="F906" s="4" t="s">
        <v>12</v>
      </c>
      <c r="G906" s="4">
        <v>11</v>
      </c>
      <c r="H906" s="4">
        <v>21279</v>
      </c>
      <c r="I906" s="4">
        <f t="shared" si="14"/>
        <v>234069</v>
      </c>
    </row>
    <row r="907" spans="1:9" x14ac:dyDescent="0.3">
      <c r="A907" s="1">
        <v>906</v>
      </c>
      <c r="B907" s="2" t="s">
        <v>918</v>
      </c>
      <c r="C907" s="3">
        <v>45832</v>
      </c>
      <c r="D907" s="4" t="s">
        <v>19</v>
      </c>
      <c r="E907" s="4" t="s">
        <v>11</v>
      </c>
      <c r="F907" s="4" t="s">
        <v>1031</v>
      </c>
      <c r="G907" s="4">
        <v>4</v>
      </c>
      <c r="H907" s="4">
        <v>73665</v>
      </c>
      <c r="I907" s="4">
        <f t="shared" si="14"/>
        <v>294660</v>
      </c>
    </row>
    <row r="908" spans="1:9" x14ac:dyDescent="0.3">
      <c r="A908" s="1">
        <v>907</v>
      </c>
      <c r="B908" s="2" t="s">
        <v>919</v>
      </c>
      <c r="C908" s="3">
        <v>45833</v>
      </c>
      <c r="D908" s="4" t="s">
        <v>19</v>
      </c>
      <c r="E908" s="4" t="s">
        <v>1041</v>
      </c>
      <c r="F908" s="4" t="s">
        <v>1033</v>
      </c>
      <c r="G908" s="4">
        <v>13</v>
      </c>
      <c r="H908" s="4">
        <v>71670</v>
      </c>
      <c r="I908" s="4">
        <f t="shared" si="14"/>
        <v>931710</v>
      </c>
    </row>
    <row r="909" spans="1:9" x14ac:dyDescent="0.3">
      <c r="A909" s="1">
        <v>908</v>
      </c>
      <c r="B909" s="2" t="s">
        <v>920</v>
      </c>
      <c r="C909" s="3">
        <v>45834</v>
      </c>
      <c r="D909" s="4" t="s">
        <v>1</v>
      </c>
      <c r="E909" s="4" t="s">
        <v>11</v>
      </c>
      <c r="F909" s="4" t="s">
        <v>1028</v>
      </c>
      <c r="G909" s="4">
        <v>7</v>
      </c>
      <c r="H909" s="4">
        <v>59028</v>
      </c>
      <c r="I909" s="4">
        <f t="shared" si="14"/>
        <v>413196</v>
      </c>
    </row>
    <row r="910" spans="1:9" x14ac:dyDescent="0.3">
      <c r="A910" s="1">
        <v>909</v>
      </c>
      <c r="B910" s="2" t="s">
        <v>921</v>
      </c>
      <c r="C910" s="3">
        <v>45835</v>
      </c>
      <c r="D910" s="4" t="s">
        <v>1</v>
      </c>
      <c r="E910" s="4" t="s">
        <v>20</v>
      </c>
      <c r="F910" s="4" t="s">
        <v>1025</v>
      </c>
      <c r="G910" s="4">
        <v>4</v>
      </c>
      <c r="H910" s="4">
        <v>23108</v>
      </c>
      <c r="I910" s="4">
        <f t="shared" si="14"/>
        <v>92432</v>
      </c>
    </row>
    <row r="911" spans="1:9" x14ac:dyDescent="0.3">
      <c r="A911" s="1">
        <v>910</v>
      </c>
      <c r="B911" s="2" t="s">
        <v>922</v>
      </c>
      <c r="C911" s="3">
        <v>45836</v>
      </c>
      <c r="D911" s="4" t="s">
        <v>19</v>
      </c>
      <c r="E911" s="4" t="s">
        <v>20</v>
      </c>
      <c r="F911" s="4" t="s">
        <v>1025</v>
      </c>
      <c r="G911" s="4">
        <v>15</v>
      </c>
      <c r="H911" s="4">
        <v>57495</v>
      </c>
      <c r="I911" s="4">
        <f t="shared" si="14"/>
        <v>862425</v>
      </c>
    </row>
    <row r="912" spans="1:9" x14ac:dyDescent="0.3">
      <c r="A912" s="1">
        <v>911</v>
      </c>
      <c r="B912" s="2" t="s">
        <v>923</v>
      </c>
      <c r="C912" s="3">
        <v>45837</v>
      </c>
      <c r="D912" s="4" t="s">
        <v>1</v>
      </c>
      <c r="E912" s="4" t="s">
        <v>20</v>
      </c>
      <c r="F912" s="4" t="s">
        <v>1031</v>
      </c>
      <c r="G912" s="4">
        <v>19</v>
      </c>
      <c r="H912" s="4">
        <v>61830</v>
      </c>
      <c r="I912" s="4">
        <f t="shared" si="14"/>
        <v>1174770</v>
      </c>
    </row>
    <row r="913" spans="1:9" x14ac:dyDescent="0.3">
      <c r="A913" s="1">
        <v>912</v>
      </c>
      <c r="B913" s="2" t="s">
        <v>924</v>
      </c>
      <c r="C913" s="3">
        <v>45838</v>
      </c>
      <c r="D913" s="4" t="s">
        <v>7</v>
      </c>
      <c r="E913" s="4" t="s">
        <v>2</v>
      </c>
      <c r="F913" s="4" t="s">
        <v>12</v>
      </c>
      <c r="G913" s="4">
        <v>9</v>
      </c>
      <c r="H913" s="4">
        <v>57509</v>
      </c>
      <c r="I913" s="4">
        <f t="shared" si="14"/>
        <v>517581</v>
      </c>
    </row>
    <row r="914" spans="1:9" x14ac:dyDescent="0.3">
      <c r="A914" s="1">
        <v>913</v>
      </c>
      <c r="B914" s="2" t="s">
        <v>925</v>
      </c>
      <c r="C914" s="3">
        <v>45839</v>
      </c>
      <c r="D914" s="4" t="s">
        <v>7</v>
      </c>
      <c r="E914" s="4" t="s">
        <v>11</v>
      </c>
      <c r="F914" s="4" t="s">
        <v>1033</v>
      </c>
      <c r="G914" s="4">
        <v>11</v>
      </c>
      <c r="H914" s="4">
        <v>71406</v>
      </c>
      <c r="I914" s="4">
        <f t="shared" si="14"/>
        <v>785466</v>
      </c>
    </row>
    <row r="915" spans="1:9" x14ac:dyDescent="0.3">
      <c r="A915" s="1">
        <v>914</v>
      </c>
      <c r="B915" s="2" t="s">
        <v>926</v>
      </c>
      <c r="C915" s="3">
        <v>45840</v>
      </c>
      <c r="D915" s="4" t="s">
        <v>19</v>
      </c>
      <c r="E915" s="4" t="s">
        <v>11</v>
      </c>
      <c r="F915" s="4" t="s">
        <v>12</v>
      </c>
      <c r="G915" s="4">
        <v>8</v>
      </c>
      <c r="H915" s="4">
        <v>44519</v>
      </c>
      <c r="I915" s="4">
        <f t="shared" si="14"/>
        <v>356152</v>
      </c>
    </row>
    <row r="916" spans="1:9" x14ac:dyDescent="0.3">
      <c r="A916" s="1">
        <v>915</v>
      </c>
      <c r="B916" s="2" t="s">
        <v>927</v>
      </c>
      <c r="C916" s="3">
        <v>45841</v>
      </c>
      <c r="D916" s="4" t="s">
        <v>5</v>
      </c>
      <c r="E916" s="4" t="s">
        <v>9</v>
      </c>
      <c r="F916" s="4" t="s">
        <v>1027</v>
      </c>
      <c r="G916" s="4">
        <v>1</v>
      </c>
      <c r="H916" s="4">
        <v>54649</v>
      </c>
      <c r="I916" s="4">
        <f t="shared" si="14"/>
        <v>54649</v>
      </c>
    </row>
    <row r="917" spans="1:9" x14ac:dyDescent="0.3">
      <c r="A917" s="1">
        <v>916</v>
      </c>
      <c r="B917" s="2" t="s">
        <v>928</v>
      </c>
      <c r="C917" s="3">
        <v>45842</v>
      </c>
      <c r="D917" s="4" t="s">
        <v>19</v>
      </c>
      <c r="E917" s="4" t="s">
        <v>9</v>
      </c>
      <c r="F917" s="4" t="s">
        <v>1027</v>
      </c>
      <c r="G917" s="4">
        <v>8</v>
      </c>
      <c r="H917" s="4">
        <v>39524</v>
      </c>
      <c r="I917" s="4">
        <f t="shared" si="14"/>
        <v>316192</v>
      </c>
    </row>
    <row r="918" spans="1:9" x14ac:dyDescent="0.3">
      <c r="A918" s="1">
        <v>917</v>
      </c>
      <c r="B918" s="2" t="s">
        <v>929</v>
      </c>
      <c r="C918" s="3">
        <v>45843</v>
      </c>
      <c r="D918" s="4" t="s">
        <v>19</v>
      </c>
      <c r="E918" s="4" t="s">
        <v>9</v>
      </c>
      <c r="F918" s="4" t="s">
        <v>1028</v>
      </c>
      <c r="G918" s="4">
        <v>13</v>
      </c>
      <c r="H918" s="4">
        <v>38885</v>
      </c>
      <c r="I918" s="4">
        <f t="shared" si="14"/>
        <v>505505</v>
      </c>
    </row>
    <row r="919" spans="1:9" x14ac:dyDescent="0.3">
      <c r="A919" s="1">
        <v>918</v>
      </c>
      <c r="B919" s="2" t="s">
        <v>930</v>
      </c>
      <c r="C919" s="3">
        <v>45844</v>
      </c>
      <c r="D919" s="4" t="s">
        <v>5</v>
      </c>
      <c r="E919" s="4" t="s">
        <v>20</v>
      </c>
      <c r="F919" s="4" t="s">
        <v>1031</v>
      </c>
      <c r="G919" s="4">
        <v>4</v>
      </c>
      <c r="H919" s="4">
        <v>49369</v>
      </c>
      <c r="I919" s="4">
        <f t="shared" si="14"/>
        <v>197476</v>
      </c>
    </row>
    <row r="920" spans="1:9" x14ac:dyDescent="0.3">
      <c r="A920" s="1">
        <v>919</v>
      </c>
      <c r="B920" s="2" t="s">
        <v>931</v>
      </c>
      <c r="C920" s="3">
        <v>45845</v>
      </c>
      <c r="D920" s="4" t="s">
        <v>5</v>
      </c>
      <c r="E920" s="4" t="s">
        <v>11</v>
      </c>
      <c r="F920" s="4" t="s">
        <v>1031</v>
      </c>
      <c r="G920" s="4">
        <v>8</v>
      </c>
      <c r="H920" s="4">
        <v>35676</v>
      </c>
      <c r="I920" s="4">
        <f t="shared" si="14"/>
        <v>285408</v>
      </c>
    </row>
    <row r="921" spans="1:9" x14ac:dyDescent="0.3">
      <c r="A921" s="1">
        <v>920</v>
      </c>
      <c r="B921" s="2" t="s">
        <v>932</v>
      </c>
      <c r="C921" s="3">
        <v>45846</v>
      </c>
      <c r="D921" s="4" t="s">
        <v>5</v>
      </c>
      <c r="E921" s="4" t="s">
        <v>20</v>
      </c>
      <c r="F921" s="4" t="s">
        <v>1031</v>
      </c>
      <c r="G921" s="4">
        <v>3</v>
      </c>
      <c r="H921" s="4">
        <v>69093</v>
      </c>
      <c r="I921" s="4">
        <f t="shared" si="14"/>
        <v>207279</v>
      </c>
    </row>
    <row r="922" spans="1:9" x14ac:dyDescent="0.3">
      <c r="A922" s="1">
        <v>921</v>
      </c>
      <c r="B922" s="2" t="s">
        <v>933</v>
      </c>
      <c r="C922" s="3">
        <v>45847</v>
      </c>
      <c r="D922" s="4" t="s">
        <v>7</v>
      </c>
      <c r="E922" s="4" t="s">
        <v>2</v>
      </c>
      <c r="F922" s="4" t="s">
        <v>1028</v>
      </c>
      <c r="G922" s="4">
        <v>9</v>
      </c>
      <c r="H922" s="4">
        <v>52764</v>
      </c>
      <c r="I922" s="4">
        <f t="shared" si="14"/>
        <v>474876</v>
      </c>
    </row>
    <row r="923" spans="1:9" x14ac:dyDescent="0.3">
      <c r="A923" s="1">
        <v>922</v>
      </c>
      <c r="B923" s="2" t="s">
        <v>934</v>
      </c>
      <c r="C923" s="3">
        <v>45848</v>
      </c>
      <c r="D923" s="4" t="s">
        <v>1</v>
      </c>
      <c r="E923" s="4" t="s">
        <v>9</v>
      </c>
      <c r="F923" s="4" t="s">
        <v>1027</v>
      </c>
      <c r="G923" s="4">
        <v>2</v>
      </c>
      <c r="H923" s="4">
        <v>55799</v>
      </c>
      <c r="I923" s="4">
        <f t="shared" si="14"/>
        <v>111598</v>
      </c>
    </row>
    <row r="924" spans="1:9" x14ac:dyDescent="0.3">
      <c r="A924" s="1">
        <v>923</v>
      </c>
      <c r="B924" s="2" t="s">
        <v>935</v>
      </c>
      <c r="C924" s="3">
        <v>45849</v>
      </c>
      <c r="D924" s="4" t="s">
        <v>7</v>
      </c>
      <c r="E924" s="4" t="s">
        <v>20</v>
      </c>
      <c r="F924" s="4" t="s">
        <v>12</v>
      </c>
      <c r="G924" s="4">
        <v>2</v>
      </c>
      <c r="H924" s="4">
        <v>36923</v>
      </c>
      <c r="I924" s="4">
        <f t="shared" si="14"/>
        <v>73846</v>
      </c>
    </row>
    <row r="925" spans="1:9" x14ac:dyDescent="0.3">
      <c r="A925" s="1">
        <v>924</v>
      </c>
      <c r="B925" s="2" t="s">
        <v>936</v>
      </c>
      <c r="C925" s="3">
        <v>45850</v>
      </c>
      <c r="D925" s="4" t="s">
        <v>1</v>
      </c>
      <c r="E925" s="4" t="s">
        <v>20</v>
      </c>
      <c r="F925" s="4" t="s">
        <v>1028</v>
      </c>
      <c r="G925" s="4">
        <v>13</v>
      </c>
      <c r="H925" s="4">
        <v>52574</v>
      </c>
      <c r="I925" s="4">
        <f t="shared" si="14"/>
        <v>683462</v>
      </c>
    </row>
    <row r="926" spans="1:9" x14ac:dyDescent="0.3">
      <c r="A926" s="1">
        <v>925</v>
      </c>
      <c r="B926" s="2" t="s">
        <v>937</v>
      </c>
      <c r="C926" s="3">
        <v>45851</v>
      </c>
      <c r="D926" s="4" t="s">
        <v>7</v>
      </c>
      <c r="E926" s="4" t="s">
        <v>2</v>
      </c>
      <c r="F926" s="4" t="s">
        <v>1028</v>
      </c>
      <c r="G926" s="4">
        <v>15</v>
      </c>
      <c r="H926" s="4">
        <v>48391</v>
      </c>
      <c r="I926" s="4">
        <f t="shared" si="14"/>
        <v>725865</v>
      </c>
    </row>
    <row r="927" spans="1:9" x14ac:dyDescent="0.3">
      <c r="A927" s="1">
        <v>926</v>
      </c>
      <c r="B927" s="2" t="s">
        <v>938</v>
      </c>
      <c r="C927" s="3">
        <v>45852</v>
      </c>
      <c r="D927" s="4" t="s">
        <v>1</v>
      </c>
      <c r="E927" s="4" t="s">
        <v>1041</v>
      </c>
      <c r="F927" s="4" t="s">
        <v>12</v>
      </c>
      <c r="G927" s="4">
        <v>12</v>
      </c>
      <c r="H927" s="4">
        <v>58664</v>
      </c>
      <c r="I927" s="4">
        <f t="shared" si="14"/>
        <v>703968</v>
      </c>
    </row>
    <row r="928" spans="1:9" x14ac:dyDescent="0.3">
      <c r="A928" s="1">
        <v>927</v>
      </c>
      <c r="B928" s="2" t="s">
        <v>939</v>
      </c>
      <c r="C928" s="3">
        <v>45853</v>
      </c>
      <c r="D928" s="4" t="s">
        <v>7</v>
      </c>
      <c r="E928" s="4" t="s">
        <v>11</v>
      </c>
      <c r="F928" s="4" t="s">
        <v>1031</v>
      </c>
      <c r="G928" s="4">
        <v>4</v>
      </c>
      <c r="H928" s="4">
        <v>72384</v>
      </c>
      <c r="I928" s="4">
        <f t="shared" si="14"/>
        <v>289536</v>
      </c>
    </row>
    <row r="929" spans="1:9" x14ac:dyDescent="0.3">
      <c r="A929" s="1">
        <v>928</v>
      </c>
      <c r="B929" s="2" t="s">
        <v>940</v>
      </c>
      <c r="C929" s="3">
        <v>45854</v>
      </c>
      <c r="D929" s="4" t="s">
        <v>5</v>
      </c>
      <c r="E929" s="4" t="s">
        <v>1041</v>
      </c>
      <c r="F929" s="4" t="s">
        <v>1033</v>
      </c>
      <c r="G929" s="4">
        <v>8</v>
      </c>
      <c r="H929" s="4">
        <v>36027</v>
      </c>
      <c r="I929" s="4">
        <f t="shared" si="14"/>
        <v>288216</v>
      </c>
    </row>
    <row r="930" spans="1:9" x14ac:dyDescent="0.3">
      <c r="A930" s="1">
        <v>929</v>
      </c>
      <c r="B930" s="2" t="s">
        <v>941</v>
      </c>
      <c r="C930" s="3">
        <v>45855</v>
      </c>
      <c r="D930" s="4" t="s">
        <v>19</v>
      </c>
      <c r="E930" s="4" t="s">
        <v>9</v>
      </c>
      <c r="F930" s="4" t="s">
        <v>12</v>
      </c>
      <c r="G930" s="4">
        <v>9</v>
      </c>
      <c r="H930" s="4">
        <v>40464</v>
      </c>
      <c r="I930" s="4">
        <f t="shared" si="14"/>
        <v>364176</v>
      </c>
    </row>
    <row r="931" spans="1:9" x14ac:dyDescent="0.3">
      <c r="A931" s="1">
        <v>930</v>
      </c>
      <c r="B931" s="2" t="s">
        <v>942</v>
      </c>
      <c r="C931" s="3">
        <v>45856</v>
      </c>
      <c r="D931" s="4" t="s">
        <v>7</v>
      </c>
      <c r="E931" s="4" t="s">
        <v>20</v>
      </c>
      <c r="F931" s="4" t="s">
        <v>1027</v>
      </c>
      <c r="G931" s="4">
        <v>5</v>
      </c>
      <c r="H931" s="4">
        <v>39485</v>
      </c>
      <c r="I931" s="4">
        <f t="shared" si="14"/>
        <v>197425</v>
      </c>
    </row>
    <row r="932" spans="1:9" x14ac:dyDescent="0.3">
      <c r="A932" s="1">
        <v>931</v>
      </c>
      <c r="B932" s="2" t="s">
        <v>943</v>
      </c>
      <c r="C932" s="3">
        <v>45857</v>
      </c>
      <c r="D932" s="4" t="s">
        <v>1</v>
      </c>
      <c r="E932" s="4" t="s">
        <v>2</v>
      </c>
      <c r="F932" s="4" t="s">
        <v>1025</v>
      </c>
      <c r="G932" s="4">
        <v>18</v>
      </c>
      <c r="H932" s="4">
        <v>24456</v>
      </c>
      <c r="I932" s="4">
        <f t="shared" si="14"/>
        <v>440208</v>
      </c>
    </row>
    <row r="933" spans="1:9" x14ac:dyDescent="0.3">
      <c r="A933" s="1">
        <v>932</v>
      </c>
      <c r="B933" s="2" t="s">
        <v>944</v>
      </c>
      <c r="C933" s="3">
        <v>45858</v>
      </c>
      <c r="D933" s="4" t="s">
        <v>5</v>
      </c>
      <c r="E933" s="4" t="s">
        <v>2</v>
      </c>
      <c r="F933" s="4" t="s">
        <v>1025</v>
      </c>
      <c r="G933" s="4">
        <v>11</v>
      </c>
      <c r="H933" s="4">
        <v>40554</v>
      </c>
      <c r="I933" s="4">
        <f t="shared" si="14"/>
        <v>446094</v>
      </c>
    </row>
    <row r="934" spans="1:9" x14ac:dyDescent="0.3">
      <c r="A934" s="1">
        <v>933</v>
      </c>
      <c r="B934" s="2" t="s">
        <v>945</v>
      </c>
      <c r="C934" s="3">
        <v>45859</v>
      </c>
      <c r="D934" s="4" t="s">
        <v>7</v>
      </c>
      <c r="E934" s="4" t="s">
        <v>11</v>
      </c>
      <c r="F934" s="4" t="s">
        <v>1028</v>
      </c>
      <c r="G934" s="4">
        <v>15</v>
      </c>
      <c r="H934" s="4">
        <v>51922</v>
      </c>
      <c r="I934" s="4">
        <f t="shared" si="14"/>
        <v>778830</v>
      </c>
    </row>
    <row r="935" spans="1:9" x14ac:dyDescent="0.3">
      <c r="A935" s="1">
        <v>934</v>
      </c>
      <c r="B935" s="2" t="s">
        <v>946</v>
      </c>
      <c r="C935" s="3">
        <v>45860</v>
      </c>
      <c r="D935" s="4" t="s">
        <v>7</v>
      </c>
      <c r="E935" s="4" t="s">
        <v>1041</v>
      </c>
      <c r="F935" s="4" t="s">
        <v>1025</v>
      </c>
      <c r="G935" s="4">
        <v>9</v>
      </c>
      <c r="H935" s="4">
        <v>18409</v>
      </c>
      <c r="I935" s="4">
        <f t="shared" si="14"/>
        <v>165681</v>
      </c>
    </row>
    <row r="936" spans="1:9" x14ac:dyDescent="0.3">
      <c r="A936" s="1">
        <v>935</v>
      </c>
      <c r="B936" s="2" t="s">
        <v>947</v>
      </c>
      <c r="C936" s="3">
        <v>45861</v>
      </c>
      <c r="D936" s="4" t="s">
        <v>5</v>
      </c>
      <c r="E936" s="4" t="s">
        <v>11</v>
      </c>
      <c r="F936" s="4" t="s">
        <v>1033</v>
      </c>
      <c r="G936" s="4">
        <v>17</v>
      </c>
      <c r="H936" s="4">
        <v>74327</v>
      </c>
      <c r="I936" s="4">
        <f t="shared" si="14"/>
        <v>1263559</v>
      </c>
    </row>
    <row r="937" spans="1:9" x14ac:dyDescent="0.3">
      <c r="A937" s="1">
        <v>936</v>
      </c>
      <c r="B937" s="2" t="s">
        <v>948</v>
      </c>
      <c r="C937" s="3">
        <v>45862</v>
      </c>
      <c r="D937" s="4" t="s">
        <v>7</v>
      </c>
      <c r="E937" s="4" t="s">
        <v>20</v>
      </c>
      <c r="F937" s="4" t="s">
        <v>1031</v>
      </c>
      <c r="G937" s="4">
        <v>12</v>
      </c>
      <c r="H937" s="4">
        <v>41639</v>
      </c>
      <c r="I937" s="4">
        <f t="shared" si="14"/>
        <v>499668</v>
      </c>
    </row>
    <row r="938" spans="1:9" x14ac:dyDescent="0.3">
      <c r="A938" s="1">
        <v>937</v>
      </c>
      <c r="B938" s="2" t="s">
        <v>949</v>
      </c>
      <c r="C938" s="3">
        <v>45863</v>
      </c>
      <c r="D938" s="4" t="s">
        <v>19</v>
      </c>
      <c r="E938" s="4" t="s">
        <v>11</v>
      </c>
      <c r="F938" s="4" t="s">
        <v>3</v>
      </c>
      <c r="G938" s="4">
        <v>7</v>
      </c>
      <c r="H938" s="4">
        <v>68627</v>
      </c>
      <c r="I938" s="4">
        <f t="shared" si="14"/>
        <v>480389</v>
      </c>
    </row>
    <row r="939" spans="1:9" x14ac:dyDescent="0.3">
      <c r="A939" s="1">
        <v>938</v>
      </c>
      <c r="B939" s="2" t="s">
        <v>950</v>
      </c>
      <c r="C939" s="3">
        <v>45864</v>
      </c>
      <c r="D939" s="4" t="s">
        <v>7</v>
      </c>
      <c r="E939" s="4" t="s">
        <v>2</v>
      </c>
      <c r="F939" s="4" t="s">
        <v>1033</v>
      </c>
      <c r="G939" s="4">
        <v>10</v>
      </c>
      <c r="H939" s="4">
        <v>24692</v>
      </c>
      <c r="I939" s="4">
        <f t="shared" si="14"/>
        <v>246920</v>
      </c>
    </row>
    <row r="940" spans="1:9" x14ac:dyDescent="0.3">
      <c r="A940" s="1">
        <v>939</v>
      </c>
      <c r="B940" s="2" t="s">
        <v>951</v>
      </c>
      <c r="C940" s="3">
        <v>45865</v>
      </c>
      <c r="D940" s="4" t="s">
        <v>19</v>
      </c>
      <c r="E940" s="4" t="s">
        <v>2</v>
      </c>
      <c r="F940" s="4" t="s">
        <v>1030</v>
      </c>
      <c r="G940" s="4">
        <v>10</v>
      </c>
      <c r="H940" s="4">
        <v>59200</v>
      </c>
      <c r="I940" s="4">
        <f t="shared" si="14"/>
        <v>592000</v>
      </c>
    </row>
    <row r="941" spans="1:9" x14ac:dyDescent="0.3">
      <c r="A941" s="1">
        <v>940</v>
      </c>
      <c r="B941" s="2" t="s">
        <v>952</v>
      </c>
      <c r="C941" s="3">
        <v>45866</v>
      </c>
      <c r="D941" s="4" t="s">
        <v>19</v>
      </c>
      <c r="E941" s="4" t="s">
        <v>9</v>
      </c>
      <c r="F941" s="4" t="s">
        <v>3</v>
      </c>
      <c r="G941" s="4">
        <v>13</v>
      </c>
      <c r="H941" s="4">
        <v>62415</v>
      </c>
      <c r="I941" s="4">
        <f t="shared" si="14"/>
        <v>811395</v>
      </c>
    </row>
    <row r="942" spans="1:9" x14ac:dyDescent="0.3">
      <c r="A942" s="1">
        <v>941</v>
      </c>
      <c r="B942" s="2" t="s">
        <v>953</v>
      </c>
      <c r="C942" s="3">
        <v>45867</v>
      </c>
      <c r="D942" s="4" t="s">
        <v>5</v>
      </c>
      <c r="E942" s="4" t="s">
        <v>9</v>
      </c>
      <c r="F942" s="4" t="s">
        <v>1031</v>
      </c>
      <c r="G942" s="4">
        <v>19</v>
      </c>
      <c r="H942" s="4">
        <v>23074</v>
      </c>
      <c r="I942" s="4">
        <f t="shared" si="14"/>
        <v>438406</v>
      </c>
    </row>
    <row r="943" spans="1:9" x14ac:dyDescent="0.3">
      <c r="A943" s="1">
        <v>942</v>
      </c>
      <c r="B943" s="2" t="s">
        <v>954</v>
      </c>
      <c r="C943" s="3">
        <v>45868</v>
      </c>
      <c r="D943" s="4" t="s">
        <v>7</v>
      </c>
      <c r="E943" s="4" t="s">
        <v>20</v>
      </c>
      <c r="F943" s="4" t="s">
        <v>1028</v>
      </c>
      <c r="G943" s="4">
        <v>11</v>
      </c>
      <c r="H943" s="4">
        <v>20549</v>
      </c>
      <c r="I943" s="4">
        <f t="shared" si="14"/>
        <v>226039</v>
      </c>
    </row>
    <row r="944" spans="1:9" x14ac:dyDescent="0.3">
      <c r="A944" s="1">
        <v>943</v>
      </c>
      <c r="B944" s="2" t="s">
        <v>955</v>
      </c>
      <c r="C944" s="3">
        <v>45869</v>
      </c>
      <c r="D944" s="4" t="s">
        <v>5</v>
      </c>
      <c r="E944" s="4" t="s">
        <v>1041</v>
      </c>
      <c r="F944" s="4" t="s">
        <v>1025</v>
      </c>
      <c r="G944" s="4">
        <v>13</v>
      </c>
      <c r="H944" s="4">
        <v>34963</v>
      </c>
      <c r="I944" s="4">
        <f t="shared" si="14"/>
        <v>454519</v>
      </c>
    </row>
    <row r="945" spans="1:9" x14ac:dyDescent="0.3">
      <c r="A945" s="1">
        <v>944</v>
      </c>
      <c r="B945" s="2" t="s">
        <v>956</v>
      </c>
      <c r="C945" s="3">
        <v>45870</v>
      </c>
      <c r="D945" s="4" t="s">
        <v>7</v>
      </c>
      <c r="E945" s="4" t="s">
        <v>11</v>
      </c>
      <c r="F945" s="4" t="s">
        <v>1031</v>
      </c>
      <c r="G945" s="4">
        <v>8</v>
      </c>
      <c r="H945" s="4">
        <v>57265</v>
      </c>
      <c r="I945" s="4">
        <f t="shared" si="14"/>
        <v>458120</v>
      </c>
    </row>
    <row r="946" spans="1:9" x14ac:dyDescent="0.3">
      <c r="A946" s="1">
        <v>945</v>
      </c>
      <c r="B946" s="2" t="s">
        <v>957</v>
      </c>
      <c r="C946" s="3">
        <v>45871</v>
      </c>
      <c r="D946" s="4" t="s">
        <v>7</v>
      </c>
      <c r="E946" s="4" t="s">
        <v>20</v>
      </c>
      <c r="F946" s="4" t="s">
        <v>1033</v>
      </c>
      <c r="G946" s="4">
        <v>8</v>
      </c>
      <c r="H946" s="4">
        <v>21061</v>
      </c>
      <c r="I946" s="4">
        <f t="shared" si="14"/>
        <v>168488</v>
      </c>
    </row>
    <row r="947" spans="1:9" x14ac:dyDescent="0.3">
      <c r="A947" s="1">
        <v>946</v>
      </c>
      <c r="B947" s="2" t="s">
        <v>958</v>
      </c>
      <c r="C947" s="3">
        <v>45872</v>
      </c>
      <c r="D947" s="4" t="s">
        <v>1</v>
      </c>
      <c r="E947" s="4" t="s">
        <v>9</v>
      </c>
      <c r="F947" s="4" t="s">
        <v>1028</v>
      </c>
      <c r="G947" s="4">
        <v>4</v>
      </c>
      <c r="H947" s="4">
        <v>63226</v>
      </c>
      <c r="I947" s="4">
        <f t="shared" si="14"/>
        <v>252904</v>
      </c>
    </row>
    <row r="948" spans="1:9" x14ac:dyDescent="0.3">
      <c r="A948" s="1">
        <v>947</v>
      </c>
      <c r="B948" s="2" t="s">
        <v>959</v>
      </c>
      <c r="C948" s="3">
        <v>45873</v>
      </c>
      <c r="D948" s="4" t="s">
        <v>7</v>
      </c>
      <c r="E948" s="4" t="s">
        <v>11</v>
      </c>
      <c r="F948" s="4" t="s">
        <v>1033</v>
      </c>
      <c r="G948" s="4">
        <v>15</v>
      </c>
      <c r="H948" s="4">
        <v>33810</v>
      </c>
      <c r="I948" s="4">
        <f t="shared" si="14"/>
        <v>507150</v>
      </c>
    </row>
    <row r="949" spans="1:9" x14ac:dyDescent="0.3">
      <c r="A949" s="1">
        <v>948</v>
      </c>
      <c r="B949" s="2" t="s">
        <v>960</v>
      </c>
      <c r="C949" s="3">
        <v>45874</v>
      </c>
      <c r="D949" s="4" t="s">
        <v>5</v>
      </c>
      <c r="E949" s="4" t="s">
        <v>9</v>
      </c>
      <c r="F949" s="4" t="s">
        <v>1028</v>
      </c>
      <c r="G949" s="4">
        <v>11</v>
      </c>
      <c r="H949" s="4">
        <v>65006</v>
      </c>
      <c r="I949" s="4">
        <f t="shared" si="14"/>
        <v>715066</v>
      </c>
    </row>
    <row r="950" spans="1:9" x14ac:dyDescent="0.3">
      <c r="A950" s="1">
        <v>949</v>
      </c>
      <c r="B950" s="2" t="s">
        <v>961</v>
      </c>
      <c r="C950" s="3">
        <v>45875</v>
      </c>
      <c r="D950" s="4" t="s">
        <v>19</v>
      </c>
      <c r="E950" s="4" t="s">
        <v>11</v>
      </c>
      <c r="F950" s="4" t="s">
        <v>1033</v>
      </c>
      <c r="G950" s="4">
        <v>11</v>
      </c>
      <c r="H950" s="4">
        <v>27800</v>
      </c>
      <c r="I950" s="4">
        <f t="shared" si="14"/>
        <v>305800</v>
      </c>
    </row>
    <row r="951" spans="1:9" x14ac:dyDescent="0.3">
      <c r="A951" s="1">
        <v>950</v>
      </c>
      <c r="B951" s="2" t="s">
        <v>962</v>
      </c>
      <c r="C951" s="3">
        <v>45876</v>
      </c>
      <c r="D951" s="4" t="s">
        <v>7</v>
      </c>
      <c r="E951" s="4" t="s">
        <v>24</v>
      </c>
      <c r="F951" s="4" t="s">
        <v>1031</v>
      </c>
      <c r="G951" s="4">
        <v>1</v>
      </c>
      <c r="H951" s="4">
        <v>74460</v>
      </c>
      <c r="I951" s="4">
        <f t="shared" si="14"/>
        <v>74460</v>
      </c>
    </row>
    <row r="952" spans="1:9" x14ac:dyDescent="0.3">
      <c r="A952" s="1">
        <v>951</v>
      </c>
      <c r="B952" s="2" t="s">
        <v>963</v>
      </c>
      <c r="C952" s="3">
        <v>45877</v>
      </c>
      <c r="D952" s="4" t="s">
        <v>1</v>
      </c>
      <c r="E952" s="4" t="s">
        <v>20</v>
      </c>
      <c r="F952" s="4" t="s">
        <v>1028</v>
      </c>
      <c r="G952" s="4">
        <v>17</v>
      </c>
      <c r="H952" s="4">
        <v>62767</v>
      </c>
      <c r="I952" s="4">
        <f t="shared" si="14"/>
        <v>1067039</v>
      </c>
    </row>
    <row r="953" spans="1:9" x14ac:dyDescent="0.3">
      <c r="A953" s="1">
        <v>952</v>
      </c>
      <c r="B953" s="2" t="s">
        <v>964</v>
      </c>
      <c r="C953" s="3">
        <v>45878</v>
      </c>
      <c r="D953" s="4" t="s">
        <v>5</v>
      </c>
      <c r="E953" s="4" t="s">
        <v>11</v>
      </c>
      <c r="F953" s="4" t="s">
        <v>1028</v>
      </c>
      <c r="G953" s="4">
        <v>15</v>
      </c>
      <c r="H953" s="4">
        <v>33054</v>
      </c>
      <c r="I953" s="4">
        <f t="shared" si="14"/>
        <v>495810</v>
      </c>
    </row>
    <row r="954" spans="1:9" x14ac:dyDescent="0.3">
      <c r="A954" s="1">
        <v>953</v>
      </c>
      <c r="B954" s="2" t="s">
        <v>965</v>
      </c>
      <c r="C954" s="3">
        <v>45879</v>
      </c>
      <c r="D954" s="4" t="s">
        <v>7</v>
      </c>
      <c r="E954" s="4" t="s">
        <v>2</v>
      </c>
      <c r="F954" s="4" t="s">
        <v>1027</v>
      </c>
      <c r="G954" s="4">
        <v>6</v>
      </c>
      <c r="H954" s="4">
        <v>50397</v>
      </c>
      <c r="I954" s="4">
        <f t="shared" si="14"/>
        <v>302382</v>
      </c>
    </row>
    <row r="955" spans="1:9" x14ac:dyDescent="0.3">
      <c r="A955" s="1">
        <v>954</v>
      </c>
      <c r="B955" s="2" t="s">
        <v>966</v>
      </c>
      <c r="C955" s="3">
        <v>45880</v>
      </c>
      <c r="D955" s="4" t="s">
        <v>5</v>
      </c>
      <c r="E955" s="4" t="s">
        <v>2</v>
      </c>
      <c r="F955" s="4" t="s">
        <v>1027</v>
      </c>
      <c r="G955" s="4">
        <v>15</v>
      </c>
      <c r="H955" s="4">
        <v>18233</v>
      </c>
      <c r="I955" s="4">
        <f t="shared" si="14"/>
        <v>273495</v>
      </c>
    </row>
    <row r="956" spans="1:9" x14ac:dyDescent="0.3">
      <c r="A956" s="1">
        <v>955</v>
      </c>
      <c r="B956" s="2" t="s">
        <v>967</v>
      </c>
      <c r="C956" s="3">
        <v>45881</v>
      </c>
      <c r="D956" s="4" t="s">
        <v>1</v>
      </c>
      <c r="E956" s="4" t="s">
        <v>11</v>
      </c>
      <c r="F956" s="4" t="s">
        <v>12</v>
      </c>
      <c r="G956" s="4">
        <v>9</v>
      </c>
      <c r="H956" s="4">
        <v>30068</v>
      </c>
      <c r="I956" s="4">
        <f t="shared" si="14"/>
        <v>270612</v>
      </c>
    </row>
    <row r="957" spans="1:9" x14ac:dyDescent="0.3">
      <c r="A957" s="1">
        <v>956</v>
      </c>
      <c r="B957" s="2" t="s">
        <v>968</v>
      </c>
      <c r="C957" s="3">
        <v>45882</v>
      </c>
      <c r="D957" s="4" t="s">
        <v>1</v>
      </c>
      <c r="E957" s="4" t="s">
        <v>11</v>
      </c>
      <c r="F957" s="4" t="s">
        <v>1033</v>
      </c>
      <c r="G957" s="4">
        <v>14</v>
      </c>
      <c r="H957" s="4">
        <v>70727</v>
      </c>
      <c r="I957" s="4">
        <f t="shared" si="14"/>
        <v>990178</v>
      </c>
    </row>
    <row r="958" spans="1:9" x14ac:dyDescent="0.3">
      <c r="A958" s="1">
        <v>957</v>
      </c>
      <c r="B958" s="2" t="s">
        <v>969</v>
      </c>
      <c r="C958" s="3">
        <v>45883</v>
      </c>
      <c r="D958" s="4" t="s">
        <v>5</v>
      </c>
      <c r="E958" s="4" t="s">
        <v>11</v>
      </c>
      <c r="F958" s="4" t="s">
        <v>1027</v>
      </c>
      <c r="G958" s="4">
        <v>18</v>
      </c>
      <c r="H958" s="4">
        <v>30832</v>
      </c>
      <c r="I958" s="4">
        <f t="shared" si="14"/>
        <v>554976</v>
      </c>
    </row>
    <row r="959" spans="1:9" x14ac:dyDescent="0.3">
      <c r="A959" s="1">
        <v>958</v>
      </c>
      <c r="B959" s="2" t="s">
        <v>970</v>
      </c>
      <c r="C959" s="3">
        <v>45884</v>
      </c>
      <c r="D959" s="4" t="s">
        <v>7</v>
      </c>
      <c r="E959" s="4" t="s">
        <v>2</v>
      </c>
      <c r="F959" s="4" t="s">
        <v>12</v>
      </c>
      <c r="G959" s="4">
        <v>17</v>
      </c>
      <c r="H959" s="4">
        <v>18682</v>
      </c>
      <c r="I959" s="4">
        <f t="shared" si="14"/>
        <v>317594</v>
      </c>
    </row>
    <row r="960" spans="1:9" x14ac:dyDescent="0.3">
      <c r="A960" s="1">
        <v>959</v>
      </c>
      <c r="B960" s="2" t="s">
        <v>971</v>
      </c>
      <c r="C960" s="3">
        <v>45885</v>
      </c>
      <c r="D960" s="4" t="s">
        <v>19</v>
      </c>
      <c r="E960" s="4" t="s">
        <v>2</v>
      </c>
      <c r="F960" s="4" t="s">
        <v>1027</v>
      </c>
      <c r="G960" s="4">
        <v>18</v>
      </c>
      <c r="H960" s="4">
        <v>28383</v>
      </c>
      <c r="I960" s="4">
        <f t="shared" si="14"/>
        <v>510894</v>
      </c>
    </row>
    <row r="961" spans="1:9" x14ac:dyDescent="0.3">
      <c r="A961" s="1">
        <v>960</v>
      </c>
      <c r="B961" s="2" t="s">
        <v>972</v>
      </c>
      <c r="C961" s="3">
        <v>45886</v>
      </c>
      <c r="D961" s="4" t="s">
        <v>1</v>
      </c>
      <c r="E961" s="4" t="s">
        <v>11</v>
      </c>
      <c r="F961" s="4" t="s">
        <v>1033</v>
      </c>
      <c r="G961" s="4">
        <v>5</v>
      </c>
      <c r="H961" s="4">
        <v>63160</v>
      </c>
      <c r="I961" s="4">
        <f t="shared" si="14"/>
        <v>315800</v>
      </c>
    </row>
    <row r="962" spans="1:9" x14ac:dyDescent="0.3">
      <c r="A962" s="1">
        <v>961</v>
      </c>
      <c r="B962" s="2" t="s">
        <v>973</v>
      </c>
      <c r="C962" s="3">
        <v>45887</v>
      </c>
      <c r="D962" s="4" t="s">
        <v>7</v>
      </c>
      <c r="E962" s="4" t="s">
        <v>9</v>
      </c>
      <c r="F962" s="4" t="s">
        <v>1028</v>
      </c>
      <c r="G962" s="4">
        <v>9</v>
      </c>
      <c r="H962" s="4">
        <v>28666</v>
      </c>
      <c r="I962" s="4">
        <f t="shared" si="14"/>
        <v>257994</v>
      </c>
    </row>
    <row r="963" spans="1:9" x14ac:dyDescent="0.3">
      <c r="A963" s="1">
        <v>962</v>
      </c>
      <c r="B963" s="2" t="s">
        <v>974</v>
      </c>
      <c r="C963" s="3">
        <v>45888</v>
      </c>
      <c r="D963" s="4" t="s">
        <v>7</v>
      </c>
      <c r="E963" s="4" t="s">
        <v>9</v>
      </c>
      <c r="F963" s="4" t="s">
        <v>1025</v>
      </c>
      <c r="G963" s="4">
        <v>11</v>
      </c>
      <c r="H963" s="4">
        <v>63817</v>
      </c>
      <c r="I963" s="4">
        <f t="shared" ref="I963:I1001" si="15">G963*H963</f>
        <v>701987</v>
      </c>
    </row>
    <row r="964" spans="1:9" x14ac:dyDescent="0.3">
      <c r="A964" s="1">
        <v>963</v>
      </c>
      <c r="B964" s="2" t="s">
        <v>975</v>
      </c>
      <c r="C964" s="3">
        <v>45889</v>
      </c>
      <c r="D964" s="4" t="s">
        <v>19</v>
      </c>
      <c r="E964" s="4" t="s">
        <v>24</v>
      </c>
      <c r="F964" s="4" t="s">
        <v>1033</v>
      </c>
      <c r="G964" s="4">
        <v>1</v>
      </c>
      <c r="H964" s="4">
        <v>39642</v>
      </c>
      <c r="I964" s="4">
        <f t="shared" si="15"/>
        <v>39642</v>
      </c>
    </row>
    <row r="965" spans="1:9" x14ac:dyDescent="0.3">
      <c r="A965" s="1">
        <v>964</v>
      </c>
      <c r="B965" s="2" t="s">
        <v>976</v>
      </c>
      <c r="C965" s="3">
        <v>45890</v>
      </c>
      <c r="D965" s="4" t="s">
        <v>1</v>
      </c>
      <c r="E965" s="4" t="s">
        <v>20</v>
      </c>
      <c r="F965" s="4" t="s">
        <v>1031</v>
      </c>
      <c r="G965" s="4">
        <v>18</v>
      </c>
      <c r="H965" s="4">
        <v>46830</v>
      </c>
      <c r="I965" s="4">
        <f t="shared" si="15"/>
        <v>842940</v>
      </c>
    </row>
    <row r="966" spans="1:9" x14ac:dyDescent="0.3">
      <c r="A966" s="1">
        <v>965</v>
      </c>
      <c r="B966" s="2" t="s">
        <v>977</v>
      </c>
      <c r="C966" s="3">
        <v>45891</v>
      </c>
      <c r="D966" s="4" t="s">
        <v>1</v>
      </c>
      <c r="E966" s="4" t="s">
        <v>9</v>
      </c>
      <c r="F966" s="4" t="s">
        <v>1027</v>
      </c>
      <c r="G966" s="4">
        <v>6</v>
      </c>
      <c r="H966" s="4">
        <v>15234</v>
      </c>
      <c r="I966" s="4">
        <f t="shared" si="15"/>
        <v>91404</v>
      </c>
    </row>
    <row r="967" spans="1:9" x14ac:dyDescent="0.3">
      <c r="A967" s="1">
        <v>966</v>
      </c>
      <c r="B967" s="2" t="s">
        <v>978</v>
      </c>
      <c r="C967" s="3">
        <v>45892</v>
      </c>
      <c r="D967" s="4" t="s">
        <v>7</v>
      </c>
      <c r="E967" s="4" t="s">
        <v>2</v>
      </c>
      <c r="F967" s="4" t="s">
        <v>1027</v>
      </c>
      <c r="G967" s="4">
        <v>2</v>
      </c>
      <c r="H967" s="4">
        <v>62616</v>
      </c>
      <c r="I967" s="4">
        <f t="shared" si="15"/>
        <v>125232</v>
      </c>
    </row>
    <row r="968" spans="1:9" x14ac:dyDescent="0.3">
      <c r="A968" s="1">
        <v>967</v>
      </c>
      <c r="B968" s="2" t="s">
        <v>979</v>
      </c>
      <c r="C968" s="3">
        <v>45893</v>
      </c>
      <c r="D968" s="4" t="s">
        <v>7</v>
      </c>
      <c r="E968" s="4" t="s">
        <v>9</v>
      </c>
      <c r="F968" s="4" t="s">
        <v>1028</v>
      </c>
      <c r="G968" s="4">
        <v>15</v>
      </c>
      <c r="H968" s="4">
        <v>14221</v>
      </c>
      <c r="I968" s="4">
        <f t="shared" si="15"/>
        <v>213315</v>
      </c>
    </row>
    <row r="969" spans="1:9" x14ac:dyDescent="0.3">
      <c r="A969" s="1">
        <v>968</v>
      </c>
      <c r="B969" s="2" t="s">
        <v>980</v>
      </c>
      <c r="C969" s="3">
        <v>45894</v>
      </c>
      <c r="D969" s="4" t="s">
        <v>19</v>
      </c>
      <c r="E969" s="4" t="s">
        <v>24</v>
      </c>
      <c r="F969" s="4" t="s">
        <v>1031</v>
      </c>
      <c r="G969" s="4">
        <v>14</v>
      </c>
      <c r="H969" s="4">
        <v>16410</v>
      </c>
      <c r="I969" s="4">
        <f t="shared" si="15"/>
        <v>229740</v>
      </c>
    </row>
    <row r="970" spans="1:9" x14ac:dyDescent="0.3">
      <c r="A970" s="1">
        <v>969</v>
      </c>
      <c r="B970" s="2" t="s">
        <v>981</v>
      </c>
      <c r="C970" s="3">
        <v>45895</v>
      </c>
      <c r="D970" s="4" t="s">
        <v>19</v>
      </c>
      <c r="E970" s="4" t="s">
        <v>24</v>
      </c>
      <c r="F970" s="4" t="s">
        <v>1028</v>
      </c>
      <c r="G970" s="4">
        <v>5</v>
      </c>
      <c r="H970" s="4">
        <v>66413</v>
      </c>
      <c r="I970" s="4">
        <f t="shared" si="15"/>
        <v>332065</v>
      </c>
    </row>
    <row r="971" spans="1:9" x14ac:dyDescent="0.3">
      <c r="A971" s="1">
        <v>970</v>
      </c>
      <c r="B971" s="2" t="s">
        <v>982</v>
      </c>
      <c r="C971" s="3">
        <v>45896</v>
      </c>
      <c r="D971" s="4" t="s">
        <v>1</v>
      </c>
      <c r="E971" s="4" t="s">
        <v>20</v>
      </c>
      <c r="F971" s="4" t="s">
        <v>1031</v>
      </c>
      <c r="G971" s="4">
        <v>6</v>
      </c>
      <c r="H971" s="4">
        <v>6051</v>
      </c>
      <c r="I971" s="4">
        <f t="shared" si="15"/>
        <v>36306</v>
      </c>
    </row>
    <row r="972" spans="1:9" x14ac:dyDescent="0.3">
      <c r="A972" s="1">
        <v>971</v>
      </c>
      <c r="B972" s="2" t="s">
        <v>983</v>
      </c>
      <c r="C972" s="3">
        <v>45897</v>
      </c>
      <c r="D972" s="4" t="s">
        <v>5</v>
      </c>
      <c r="E972" s="4" t="s">
        <v>9</v>
      </c>
      <c r="F972" s="4" t="s">
        <v>1025</v>
      </c>
      <c r="G972" s="4">
        <v>6</v>
      </c>
      <c r="H972" s="4">
        <v>61563</v>
      </c>
      <c r="I972" s="4">
        <f t="shared" si="15"/>
        <v>369378</v>
      </c>
    </row>
    <row r="973" spans="1:9" x14ac:dyDescent="0.3">
      <c r="A973" s="1">
        <v>972</v>
      </c>
      <c r="B973" s="2" t="s">
        <v>984</v>
      </c>
      <c r="C973" s="3">
        <v>45898</v>
      </c>
      <c r="D973" s="4" t="s">
        <v>1</v>
      </c>
      <c r="E973" s="4" t="s">
        <v>2</v>
      </c>
      <c r="F973" s="4" t="s">
        <v>1027</v>
      </c>
      <c r="G973" s="4">
        <v>18</v>
      </c>
      <c r="H973" s="4">
        <v>49757</v>
      </c>
      <c r="I973" s="4">
        <f t="shared" si="15"/>
        <v>895626</v>
      </c>
    </row>
    <row r="974" spans="1:9" x14ac:dyDescent="0.3">
      <c r="A974" s="1">
        <v>973</v>
      </c>
      <c r="B974" s="2" t="s">
        <v>985</v>
      </c>
      <c r="C974" s="3">
        <v>45899</v>
      </c>
      <c r="D974" s="4" t="s">
        <v>7</v>
      </c>
      <c r="E974" s="4" t="s">
        <v>2</v>
      </c>
      <c r="F974" s="4" t="s">
        <v>1027</v>
      </c>
      <c r="G974" s="4">
        <v>14</v>
      </c>
      <c r="H974" s="4">
        <v>56257</v>
      </c>
      <c r="I974" s="4">
        <f t="shared" si="15"/>
        <v>787598</v>
      </c>
    </row>
    <row r="975" spans="1:9" x14ac:dyDescent="0.3">
      <c r="A975" s="1">
        <v>974</v>
      </c>
      <c r="B975" s="2" t="s">
        <v>986</v>
      </c>
      <c r="C975" s="3">
        <v>45900</v>
      </c>
      <c r="D975" s="4" t="s">
        <v>1</v>
      </c>
      <c r="E975" s="4" t="s">
        <v>11</v>
      </c>
      <c r="F975" s="4" t="s">
        <v>1025</v>
      </c>
      <c r="G975" s="4">
        <v>10</v>
      </c>
      <c r="H975" s="4">
        <v>5307</v>
      </c>
      <c r="I975" s="4">
        <f t="shared" si="15"/>
        <v>53070</v>
      </c>
    </row>
    <row r="976" spans="1:9" x14ac:dyDescent="0.3">
      <c r="A976" s="1">
        <v>975</v>
      </c>
      <c r="B976" s="2" t="s">
        <v>987</v>
      </c>
      <c r="C976" s="3">
        <v>45901</v>
      </c>
      <c r="D976" s="4" t="s">
        <v>5</v>
      </c>
      <c r="E976" s="4" t="s">
        <v>2</v>
      </c>
      <c r="F976" s="4" t="s">
        <v>12</v>
      </c>
      <c r="G976" s="4">
        <v>14</v>
      </c>
      <c r="H976" s="4">
        <v>61889</v>
      </c>
      <c r="I976" s="4">
        <f t="shared" si="15"/>
        <v>866446</v>
      </c>
    </row>
    <row r="977" spans="1:9" x14ac:dyDescent="0.3">
      <c r="A977" s="1">
        <v>976</v>
      </c>
      <c r="B977" s="2" t="s">
        <v>988</v>
      </c>
      <c r="C977" s="3">
        <v>45902</v>
      </c>
      <c r="D977" s="4" t="s">
        <v>19</v>
      </c>
      <c r="E977" s="4" t="s">
        <v>20</v>
      </c>
      <c r="F977" s="4" t="s">
        <v>1028</v>
      </c>
      <c r="G977" s="4">
        <v>13</v>
      </c>
      <c r="H977" s="4">
        <v>73895</v>
      </c>
      <c r="I977" s="4">
        <f t="shared" si="15"/>
        <v>960635</v>
      </c>
    </row>
    <row r="978" spans="1:9" x14ac:dyDescent="0.3">
      <c r="A978" s="1">
        <v>977</v>
      </c>
      <c r="B978" s="2" t="s">
        <v>989</v>
      </c>
      <c r="C978" s="3">
        <v>45903</v>
      </c>
      <c r="D978" s="4" t="s">
        <v>5</v>
      </c>
      <c r="E978" s="4" t="s">
        <v>20</v>
      </c>
      <c r="F978" s="4" t="s">
        <v>1025</v>
      </c>
      <c r="G978" s="4">
        <v>3</v>
      </c>
      <c r="H978" s="4">
        <v>40944</v>
      </c>
      <c r="I978" s="4">
        <f t="shared" si="15"/>
        <v>122832</v>
      </c>
    </row>
    <row r="979" spans="1:9" x14ac:dyDescent="0.3">
      <c r="A979" s="1">
        <v>978</v>
      </c>
      <c r="B979" s="2" t="s">
        <v>990</v>
      </c>
      <c r="C979" s="3">
        <v>45904</v>
      </c>
      <c r="D979" s="4" t="s">
        <v>5</v>
      </c>
      <c r="E979" s="4" t="s">
        <v>2</v>
      </c>
      <c r="F979" s="4" t="s">
        <v>1028</v>
      </c>
      <c r="G979" s="4">
        <v>6</v>
      </c>
      <c r="H979" s="4">
        <v>43134</v>
      </c>
      <c r="I979" s="4">
        <f t="shared" si="15"/>
        <v>258804</v>
      </c>
    </row>
    <row r="980" spans="1:9" x14ac:dyDescent="0.3">
      <c r="A980" s="1">
        <v>979</v>
      </c>
      <c r="B980" s="2" t="s">
        <v>991</v>
      </c>
      <c r="C980" s="3">
        <v>45905</v>
      </c>
      <c r="D980" s="4" t="s">
        <v>5</v>
      </c>
      <c r="E980" s="4" t="s">
        <v>2</v>
      </c>
      <c r="F980" s="4" t="s">
        <v>1033</v>
      </c>
      <c r="G980" s="4">
        <v>8</v>
      </c>
      <c r="H980" s="4">
        <v>32323</v>
      </c>
      <c r="I980" s="4">
        <f t="shared" si="15"/>
        <v>258584</v>
      </c>
    </row>
    <row r="981" spans="1:9" x14ac:dyDescent="0.3">
      <c r="A981" s="1">
        <v>980</v>
      </c>
      <c r="B981" s="2" t="s">
        <v>992</v>
      </c>
      <c r="C981" s="3">
        <v>45906</v>
      </c>
      <c r="D981" s="4" t="s">
        <v>19</v>
      </c>
      <c r="E981" s="4" t="s">
        <v>11</v>
      </c>
      <c r="F981" s="4" t="s">
        <v>1027</v>
      </c>
      <c r="G981" s="4">
        <v>12</v>
      </c>
      <c r="H981" s="4">
        <v>30954</v>
      </c>
      <c r="I981" s="4">
        <f t="shared" si="15"/>
        <v>371448</v>
      </c>
    </row>
    <row r="982" spans="1:9" x14ac:dyDescent="0.3">
      <c r="A982" s="1">
        <v>981</v>
      </c>
      <c r="B982" s="2" t="s">
        <v>993</v>
      </c>
      <c r="C982" s="3">
        <v>45907</v>
      </c>
      <c r="D982" s="4" t="s">
        <v>5</v>
      </c>
      <c r="E982" s="4" t="s">
        <v>2</v>
      </c>
      <c r="F982" s="4" t="s">
        <v>1028</v>
      </c>
      <c r="G982" s="4">
        <v>13</v>
      </c>
      <c r="H982" s="4">
        <v>60021</v>
      </c>
      <c r="I982" s="4">
        <f t="shared" si="15"/>
        <v>780273</v>
      </c>
    </row>
    <row r="983" spans="1:9" x14ac:dyDescent="0.3">
      <c r="A983" s="1">
        <v>982</v>
      </c>
      <c r="B983" s="2" t="s">
        <v>994</v>
      </c>
      <c r="C983" s="3">
        <v>45908</v>
      </c>
      <c r="D983" s="4" t="s">
        <v>5</v>
      </c>
      <c r="E983" s="4" t="s">
        <v>11</v>
      </c>
      <c r="F983" s="4" t="s">
        <v>1031</v>
      </c>
      <c r="G983" s="4">
        <v>11</v>
      </c>
      <c r="H983" s="4">
        <v>9992</v>
      </c>
      <c r="I983" s="4">
        <f t="shared" si="15"/>
        <v>109912</v>
      </c>
    </row>
    <row r="984" spans="1:9" x14ac:dyDescent="0.3">
      <c r="A984" s="1">
        <v>983</v>
      </c>
      <c r="B984" s="2" t="s">
        <v>995</v>
      </c>
      <c r="C984" s="3">
        <v>45909</v>
      </c>
      <c r="D984" s="4" t="s">
        <v>5</v>
      </c>
      <c r="E984" s="4" t="s">
        <v>11</v>
      </c>
      <c r="F984" s="4" t="s">
        <v>1028</v>
      </c>
      <c r="G984" s="4">
        <v>12</v>
      </c>
      <c r="H984" s="4">
        <v>6961</v>
      </c>
      <c r="I984" s="4">
        <f t="shared" si="15"/>
        <v>83532</v>
      </c>
    </row>
    <row r="985" spans="1:9" x14ac:dyDescent="0.3">
      <c r="A985" s="1">
        <v>984</v>
      </c>
      <c r="B985" s="2" t="s">
        <v>996</v>
      </c>
      <c r="C985" s="3">
        <v>45910</v>
      </c>
      <c r="D985" s="4" t="s">
        <v>7</v>
      </c>
      <c r="E985" s="4" t="s">
        <v>2</v>
      </c>
      <c r="F985" s="4" t="s">
        <v>1033</v>
      </c>
      <c r="G985" s="4">
        <v>1</v>
      </c>
      <c r="H985" s="4">
        <v>17497</v>
      </c>
      <c r="I985" s="4">
        <f t="shared" si="15"/>
        <v>17497</v>
      </c>
    </row>
    <row r="986" spans="1:9" x14ac:dyDescent="0.3">
      <c r="A986" s="1">
        <v>985</v>
      </c>
      <c r="B986" s="2" t="s">
        <v>997</v>
      </c>
      <c r="C986" s="3">
        <v>45911</v>
      </c>
      <c r="D986" s="4" t="s">
        <v>5</v>
      </c>
      <c r="E986" s="4" t="s">
        <v>24</v>
      </c>
      <c r="F986" s="4" t="s">
        <v>1027</v>
      </c>
      <c r="G986" s="4">
        <v>17</v>
      </c>
      <c r="H986" s="4">
        <v>37551</v>
      </c>
      <c r="I986" s="4">
        <f t="shared" si="15"/>
        <v>638367</v>
      </c>
    </row>
    <row r="987" spans="1:9" x14ac:dyDescent="0.3">
      <c r="A987" s="1">
        <v>986</v>
      </c>
      <c r="B987" s="2" t="s">
        <v>998</v>
      </c>
      <c r="C987" s="3">
        <v>45912</v>
      </c>
      <c r="D987" s="4" t="s">
        <v>19</v>
      </c>
      <c r="E987" s="4" t="s">
        <v>24</v>
      </c>
      <c r="F987" s="4" t="s">
        <v>1025</v>
      </c>
      <c r="G987" s="4">
        <v>16</v>
      </c>
      <c r="H987" s="4">
        <v>60755</v>
      </c>
      <c r="I987" s="4">
        <f t="shared" si="15"/>
        <v>972080</v>
      </c>
    </row>
    <row r="988" spans="1:9" x14ac:dyDescent="0.3">
      <c r="A988" s="1">
        <v>987</v>
      </c>
      <c r="B988" s="2" t="s">
        <v>999</v>
      </c>
      <c r="C988" s="3">
        <v>45913</v>
      </c>
      <c r="D988" s="4" t="s">
        <v>5</v>
      </c>
      <c r="E988" s="4" t="s">
        <v>11</v>
      </c>
      <c r="F988" s="4" t="s">
        <v>1033</v>
      </c>
      <c r="G988" s="4">
        <v>11</v>
      </c>
      <c r="H988" s="4">
        <v>18255</v>
      </c>
      <c r="I988" s="4">
        <f t="shared" si="15"/>
        <v>200805</v>
      </c>
    </row>
    <row r="989" spans="1:9" x14ac:dyDescent="0.3">
      <c r="A989" s="1">
        <v>988</v>
      </c>
      <c r="B989" s="2" t="s">
        <v>1000</v>
      </c>
      <c r="C989" s="3">
        <v>45914</v>
      </c>
      <c r="D989" s="4" t="s">
        <v>5</v>
      </c>
      <c r="E989" s="4" t="s">
        <v>2</v>
      </c>
      <c r="F989" s="4" t="s">
        <v>1027</v>
      </c>
      <c r="G989" s="4">
        <v>13</v>
      </c>
      <c r="H989" s="4">
        <v>9567</v>
      </c>
      <c r="I989" s="4">
        <f t="shared" si="15"/>
        <v>124371</v>
      </c>
    </row>
    <row r="990" spans="1:9" x14ac:dyDescent="0.3">
      <c r="A990" s="1">
        <v>989</v>
      </c>
      <c r="B990" s="2" t="s">
        <v>1001</v>
      </c>
      <c r="C990" s="3">
        <v>45915</v>
      </c>
      <c r="D990" s="4" t="s">
        <v>19</v>
      </c>
      <c r="E990" s="4" t="s">
        <v>24</v>
      </c>
      <c r="F990" s="4" t="s">
        <v>1028</v>
      </c>
      <c r="G990" s="4">
        <v>18</v>
      </c>
      <c r="H990" s="4">
        <v>53847</v>
      </c>
      <c r="I990" s="4">
        <f t="shared" si="15"/>
        <v>969246</v>
      </c>
    </row>
    <row r="991" spans="1:9" x14ac:dyDescent="0.3">
      <c r="A991" s="1">
        <v>990</v>
      </c>
      <c r="B991" s="2" t="s">
        <v>1002</v>
      </c>
      <c r="C991" s="3">
        <v>45916</v>
      </c>
      <c r="D991" s="4" t="s">
        <v>5</v>
      </c>
      <c r="E991" s="4" t="s">
        <v>2</v>
      </c>
      <c r="F991" s="4" t="s">
        <v>12</v>
      </c>
      <c r="G991" s="4">
        <v>11</v>
      </c>
      <c r="H991" s="4">
        <v>53003</v>
      </c>
      <c r="I991" s="4">
        <f t="shared" si="15"/>
        <v>583033</v>
      </c>
    </row>
    <row r="992" spans="1:9" x14ac:dyDescent="0.3">
      <c r="A992" s="1">
        <v>991</v>
      </c>
      <c r="B992" s="2" t="s">
        <v>1003</v>
      </c>
      <c r="C992" s="3">
        <v>45917</v>
      </c>
      <c r="D992" s="4" t="s">
        <v>19</v>
      </c>
      <c r="E992" s="4" t="s">
        <v>2</v>
      </c>
      <c r="F992" s="4" t="s">
        <v>12</v>
      </c>
      <c r="G992" s="4">
        <v>12</v>
      </c>
      <c r="H992" s="4">
        <v>25389</v>
      </c>
      <c r="I992" s="4">
        <f t="shared" si="15"/>
        <v>304668</v>
      </c>
    </row>
    <row r="993" spans="1:9" x14ac:dyDescent="0.3">
      <c r="A993" s="1">
        <v>992</v>
      </c>
      <c r="B993" s="2" t="s">
        <v>1004</v>
      </c>
      <c r="C993" s="3">
        <v>45918</v>
      </c>
      <c r="D993" s="4" t="s">
        <v>5</v>
      </c>
      <c r="E993" s="4" t="s">
        <v>2</v>
      </c>
      <c r="F993" s="4" t="s">
        <v>1031</v>
      </c>
      <c r="G993" s="4">
        <v>6</v>
      </c>
      <c r="H993" s="4">
        <v>49523</v>
      </c>
      <c r="I993" s="4">
        <f t="shared" si="15"/>
        <v>297138</v>
      </c>
    </row>
    <row r="994" spans="1:9" x14ac:dyDescent="0.3">
      <c r="A994" s="1">
        <v>993</v>
      </c>
      <c r="B994" s="2" t="s">
        <v>1005</v>
      </c>
      <c r="C994" s="3">
        <v>45919</v>
      </c>
      <c r="D994" s="4" t="s">
        <v>19</v>
      </c>
      <c r="E994" s="4" t="s">
        <v>9</v>
      </c>
      <c r="F994" s="4" t="s">
        <v>1027</v>
      </c>
      <c r="G994" s="4">
        <v>9</v>
      </c>
      <c r="H994" s="4">
        <v>66576</v>
      </c>
      <c r="I994" s="4">
        <f t="shared" si="15"/>
        <v>599184</v>
      </c>
    </row>
    <row r="995" spans="1:9" x14ac:dyDescent="0.3">
      <c r="A995" s="1">
        <v>994</v>
      </c>
      <c r="B995" s="2" t="s">
        <v>1006</v>
      </c>
      <c r="C995" s="3">
        <v>45920</v>
      </c>
      <c r="D995" s="4" t="s">
        <v>5</v>
      </c>
      <c r="E995" s="4" t="s">
        <v>2</v>
      </c>
      <c r="F995" s="4" t="s">
        <v>12</v>
      </c>
      <c r="G995" s="4">
        <v>16</v>
      </c>
      <c r="H995" s="4">
        <v>48919</v>
      </c>
      <c r="I995" s="4">
        <f t="shared" si="15"/>
        <v>782704</v>
      </c>
    </row>
    <row r="996" spans="1:9" x14ac:dyDescent="0.3">
      <c r="A996" s="1">
        <v>995</v>
      </c>
      <c r="B996" s="2" t="s">
        <v>1007</v>
      </c>
      <c r="C996" s="3">
        <v>45921</v>
      </c>
      <c r="D996" s="4" t="s">
        <v>5</v>
      </c>
      <c r="E996" s="4" t="s">
        <v>9</v>
      </c>
      <c r="F996" s="4" t="s">
        <v>1025</v>
      </c>
      <c r="G996" s="4">
        <v>4</v>
      </c>
      <c r="H996" s="4">
        <v>8358</v>
      </c>
      <c r="I996" s="4">
        <f t="shared" si="15"/>
        <v>33432</v>
      </c>
    </row>
    <row r="997" spans="1:9" x14ac:dyDescent="0.3">
      <c r="A997" s="1">
        <v>996</v>
      </c>
      <c r="B997" s="2" t="s">
        <v>1008</v>
      </c>
      <c r="C997" s="3">
        <v>45922</v>
      </c>
      <c r="D997" s="4" t="s">
        <v>7</v>
      </c>
      <c r="E997" s="4" t="s">
        <v>11</v>
      </c>
      <c r="F997" s="4" t="s">
        <v>1027</v>
      </c>
      <c r="G997" s="4">
        <v>3</v>
      </c>
      <c r="H997" s="4">
        <v>10698</v>
      </c>
      <c r="I997" s="4">
        <f t="shared" si="15"/>
        <v>32094</v>
      </c>
    </row>
    <row r="998" spans="1:9" x14ac:dyDescent="0.3">
      <c r="A998" s="1">
        <v>997</v>
      </c>
      <c r="B998" s="2" t="s">
        <v>1009</v>
      </c>
      <c r="C998" s="3">
        <v>45923</v>
      </c>
      <c r="D998" s="4" t="s">
        <v>7</v>
      </c>
      <c r="E998" s="4" t="s">
        <v>24</v>
      </c>
      <c r="F998" s="4" t="s">
        <v>1025</v>
      </c>
      <c r="G998" s="4">
        <v>16</v>
      </c>
      <c r="H998" s="4">
        <v>71809</v>
      </c>
      <c r="I998" s="4">
        <f t="shared" si="15"/>
        <v>1148944</v>
      </c>
    </row>
    <row r="999" spans="1:9" x14ac:dyDescent="0.3">
      <c r="A999" s="1">
        <v>998</v>
      </c>
      <c r="B999" s="2" t="s">
        <v>1010</v>
      </c>
      <c r="C999" s="3">
        <v>45924</v>
      </c>
      <c r="D999" s="4" t="s">
        <v>5</v>
      </c>
      <c r="E999" s="4" t="s">
        <v>24</v>
      </c>
      <c r="F999" s="4" t="s">
        <v>1025</v>
      </c>
      <c r="G999" s="4">
        <v>12</v>
      </c>
      <c r="H999" s="4">
        <v>60805</v>
      </c>
      <c r="I999" s="4">
        <f t="shared" si="15"/>
        <v>729660</v>
      </c>
    </row>
    <row r="1000" spans="1:9" x14ac:dyDescent="0.3">
      <c r="A1000" s="1">
        <v>999</v>
      </c>
      <c r="B1000" s="2" t="s">
        <v>1011</v>
      </c>
      <c r="C1000" s="3">
        <v>45925</v>
      </c>
      <c r="D1000" s="4" t="s">
        <v>5</v>
      </c>
      <c r="E1000" s="4" t="s">
        <v>24</v>
      </c>
      <c r="F1000" s="4" t="s">
        <v>12</v>
      </c>
      <c r="G1000" s="4">
        <v>11</v>
      </c>
      <c r="H1000" s="4">
        <v>36349</v>
      </c>
      <c r="I1000" s="4">
        <f t="shared" si="15"/>
        <v>399839</v>
      </c>
    </row>
    <row r="1001" spans="1:9" x14ac:dyDescent="0.3">
      <c r="A1001" s="1">
        <v>1000</v>
      </c>
      <c r="B1001" s="2" t="s">
        <v>1012</v>
      </c>
      <c r="C1001" s="3">
        <v>45926</v>
      </c>
      <c r="D1001" s="4" t="s">
        <v>1</v>
      </c>
      <c r="E1001" s="4" t="s">
        <v>24</v>
      </c>
      <c r="F1001" s="4" t="s">
        <v>1027</v>
      </c>
      <c r="G1001" s="4">
        <v>5</v>
      </c>
      <c r="H1001" s="4">
        <v>55248</v>
      </c>
      <c r="I1001" s="4">
        <f t="shared" si="15"/>
        <v>276240</v>
      </c>
    </row>
  </sheetData>
  <conditionalFormatting sqref="B2:B1001">
    <cfRule type="duplicateValues" dxfId="0" priority="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65C92-C1E1-4084-AF6A-5A625EFCFCF0}">
  <dimension ref="A3:I36"/>
  <sheetViews>
    <sheetView tabSelected="1" workbookViewId="0">
      <selection activeCell="I16" sqref="I16"/>
    </sheetView>
  </sheetViews>
  <sheetFormatPr defaultRowHeight="14.4" x14ac:dyDescent="0.3"/>
  <cols>
    <col min="1" max="1" width="15.5546875" bestFit="1" customWidth="1"/>
    <col min="2" max="3" width="16.109375" bestFit="1" customWidth="1"/>
  </cols>
  <sheetData>
    <row r="3" spans="1:9" x14ac:dyDescent="0.3">
      <c r="A3" s="21" t="s">
        <v>1034</v>
      </c>
      <c r="B3" t="s">
        <v>1058</v>
      </c>
      <c r="D3" t="s">
        <v>1034</v>
      </c>
      <c r="E3" t="s">
        <v>1036</v>
      </c>
    </row>
    <row r="4" spans="1:9" x14ac:dyDescent="0.3">
      <c r="A4" s="19" t="s">
        <v>1</v>
      </c>
      <c r="B4" s="28">
        <v>2219</v>
      </c>
      <c r="D4" t="s">
        <v>1</v>
      </c>
      <c r="E4">
        <v>89292060</v>
      </c>
      <c r="H4" t="s">
        <v>1</v>
      </c>
      <c r="I4">
        <v>89292060</v>
      </c>
    </row>
    <row r="5" spans="1:9" x14ac:dyDescent="0.3">
      <c r="A5" s="22" t="s">
        <v>20</v>
      </c>
      <c r="B5" s="28">
        <v>392</v>
      </c>
      <c r="D5" t="s">
        <v>1040</v>
      </c>
      <c r="E5">
        <v>8398791</v>
      </c>
      <c r="H5" t="s">
        <v>1040</v>
      </c>
      <c r="I5">
        <v>8398791</v>
      </c>
    </row>
    <row r="6" spans="1:9" x14ac:dyDescent="0.3">
      <c r="A6" s="22" t="s">
        <v>2</v>
      </c>
      <c r="B6" s="28">
        <v>381</v>
      </c>
      <c r="D6" t="s">
        <v>2</v>
      </c>
      <c r="E6">
        <v>14945961</v>
      </c>
      <c r="H6" t="s">
        <v>2</v>
      </c>
      <c r="I6">
        <v>14945961</v>
      </c>
    </row>
    <row r="7" spans="1:9" x14ac:dyDescent="0.3">
      <c r="A7" s="22" t="s">
        <v>9</v>
      </c>
      <c r="B7" s="28">
        <v>359</v>
      </c>
      <c r="D7" t="s">
        <v>20</v>
      </c>
      <c r="E7">
        <v>14774677</v>
      </c>
      <c r="H7" t="s">
        <v>20</v>
      </c>
      <c r="I7">
        <v>14774677</v>
      </c>
    </row>
    <row r="8" spans="1:9" x14ac:dyDescent="0.3">
      <c r="A8" s="22" t="s">
        <v>24</v>
      </c>
      <c r="B8" s="28">
        <v>358</v>
      </c>
      <c r="D8" t="s">
        <v>11</v>
      </c>
      <c r="E8">
        <v>12831516</v>
      </c>
      <c r="H8" t="s">
        <v>11</v>
      </c>
      <c r="I8">
        <v>12831516</v>
      </c>
    </row>
    <row r="9" spans="1:9" x14ac:dyDescent="0.3">
      <c r="A9" s="22" t="s">
        <v>11</v>
      </c>
      <c r="B9" s="28">
        <v>316</v>
      </c>
      <c r="D9" t="s">
        <v>9</v>
      </c>
      <c r="E9">
        <v>13550990</v>
      </c>
      <c r="H9" t="s">
        <v>9</v>
      </c>
      <c r="I9">
        <v>13550990</v>
      </c>
    </row>
    <row r="10" spans="1:9" x14ac:dyDescent="0.3">
      <c r="A10" s="22" t="s">
        <v>1040</v>
      </c>
      <c r="B10" s="28">
        <v>221</v>
      </c>
      <c r="D10" t="s">
        <v>1041</v>
      </c>
      <c r="E10">
        <v>7878942</v>
      </c>
      <c r="H10" t="s">
        <v>1041</v>
      </c>
      <c r="I10">
        <v>7878942</v>
      </c>
    </row>
    <row r="11" spans="1:9" x14ac:dyDescent="0.3">
      <c r="A11" s="22" t="s">
        <v>1041</v>
      </c>
      <c r="B11" s="28">
        <v>192</v>
      </c>
      <c r="D11" t="s">
        <v>24</v>
      </c>
      <c r="E11">
        <v>16911183</v>
      </c>
      <c r="H11" t="s">
        <v>24</v>
      </c>
      <c r="I11">
        <v>16911183</v>
      </c>
    </row>
    <row r="12" spans="1:9" x14ac:dyDescent="0.3">
      <c r="A12" s="19" t="s">
        <v>7</v>
      </c>
      <c r="B12" s="28">
        <v>2628</v>
      </c>
      <c r="D12" t="s">
        <v>7</v>
      </c>
      <c r="E12">
        <v>107787425</v>
      </c>
    </row>
    <row r="13" spans="1:9" x14ac:dyDescent="0.3">
      <c r="A13" s="22" t="s">
        <v>2</v>
      </c>
      <c r="B13" s="28">
        <v>467</v>
      </c>
      <c r="D13" t="s">
        <v>1040</v>
      </c>
      <c r="E13">
        <v>7442035</v>
      </c>
    </row>
    <row r="14" spans="1:9" x14ac:dyDescent="0.3">
      <c r="A14" s="22" t="s">
        <v>20</v>
      </c>
      <c r="B14" s="28">
        <v>466</v>
      </c>
      <c r="D14" t="s">
        <v>2</v>
      </c>
      <c r="E14">
        <v>18173808</v>
      </c>
    </row>
    <row r="15" spans="1:9" x14ac:dyDescent="0.3">
      <c r="A15" s="22" t="s">
        <v>24</v>
      </c>
      <c r="B15" s="28">
        <v>390</v>
      </c>
      <c r="D15" t="s">
        <v>20</v>
      </c>
      <c r="E15">
        <v>18268123</v>
      </c>
    </row>
    <row r="16" spans="1:9" x14ac:dyDescent="0.3">
      <c r="A16" s="22" t="s">
        <v>9</v>
      </c>
      <c r="B16" s="28">
        <v>384</v>
      </c>
      <c r="D16" t="s">
        <v>11</v>
      </c>
      <c r="E16">
        <v>16640179</v>
      </c>
    </row>
    <row r="17" spans="1:5" x14ac:dyDescent="0.3">
      <c r="A17" s="22" t="s">
        <v>11</v>
      </c>
      <c r="B17" s="28">
        <v>373</v>
      </c>
      <c r="D17" t="s">
        <v>9</v>
      </c>
      <c r="E17">
        <v>15116726</v>
      </c>
    </row>
    <row r="18" spans="1:5" x14ac:dyDescent="0.3">
      <c r="A18" s="22" t="s">
        <v>1041</v>
      </c>
      <c r="B18" s="28">
        <v>343</v>
      </c>
      <c r="D18" t="s">
        <v>1041</v>
      </c>
      <c r="E18">
        <v>15723132</v>
      </c>
    </row>
    <row r="19" spans="1:5" x14ac:dyDescent="0.3">
      <c r="A19" s="22" t="s">
        <v>1040</v>
      </c>
      <c r="B19" s="28">
        <v>205</v>
      </c>
      <c r="D19" t="s">
        <v>24</v>
      </c>
      <c r="E19">
        <v>16423422</v>
      </c>
    </row>
    <row r="20" spans="1:5" x14ac:dyDescent="0.3">
      <c r="A20" s="19" t="s">
        <v>19</v>
      </c>
      <c r="B20" s="28">
        <v>2398</v>
      </c>
      <c r="D20" t="s">
        <v>19</v>
      </c>
      <c r="E20">
        <v>93957587</v>
      </c>
    </row>
    <row r="21" spans="1:5" x14ac:dyDescent="0.3">
      <c r="A21" s="22" t="s">
        <v>20</v>
      </c>
      <c r="B21" s="28">
        <v>454</v>
      </c>
      <c r="D21" t="s">
        <v>1040</v>
      </c>
      <c r="E21">
        <v>8413980</v>
      </c>
    </row>
    <row r="22" spans="1:5" x14ac:dyDescent="0.3">
      <c r="A22" s="22" t="s">
        <v>24</v>
      </c>
      <c r="B22" s="28">
        <v>394</v>
      </c>
      <c r="D22" t="s">
        <v>2</v>
      </c>
      <c r="E22">
        <v>15007056</v>
      </c>
    </row>
    <row r="23" spans="1:5" x14ac:dyDescent="0.3">
      <c r="A23" s="22" t="s">
        <v>2</v>
      </c>
      <c r="B23" s="28">
        <v>388</v>
      </c>
      <c r="D23" t="s">
        <v>20</v>
      </c>
      <c r="E23">
        <v>18965467</v>
      </c>
    </row>
    <row r="24" spans="1:5" x14ac:dyDescent="0.3">
      <c r="A24" s="22" t="s">
        <v>9</v>
      </c>
      <c r="B24" s="28">
        <v>354</v>
      </c>
      <c r="D24" t="s">
        <v>11</v>
      </c>
      <c r="E24">
        <v>12142794</v>
      </c>
    </row>
    <row r="25" spans="1:5" x14ac:dyDescent="0.3">
      <c r="A25" s="22" t="s">
        <v>11</v>
      </c>
      <c r="B25" s="28">
        <v>299</v>
      </c>
      <c r="D25" t="s">
        <v>9</v>
      </c>
      <c r="E25">
        <v>14135551</v>
      </c>
    </row>
    <row r="26" spans="1:5" x14ac:dyDescent="0.3">
      <c r="A26" s="22" t="s">
        <v>1041</v>
      </c>
      <c r="B26" s="28">
        <v>291</v>
      </c>
      <c r="D26" t="s">
        <v>1041</v>
      </c>
      <c r="E26">
        <v>10626179</v>
      </c>
    </row>
    <row r="27" spans="1:5" x14ac:dyDescent="0.3">
      <c r="A27" s="22" t="s">
        <v>1040</v>
      </c>
      <c r="B27" s="28">
        <v>218</v>
      </c>
      <c r="D27" t="s">
        <v>24</v>
      </c>
      <c r="E27">
        <v>14666560</v>
      </c>
    </row>
    <row r="28" spans="1:5" x14ac:dyDescent="0.3">
      <c r="A28" s="19" t="s">
        <v>5</v>
      </c>
      <c r="B28" s="28">
        <v>2768</v>
      </c>
      <c r="D28" t="s">
        <v>5</v>
      </c>
      <c r="E28">
        <v>110617649</v>
      </c>
    </row>
    <row r="29" spans="1:5" x14ac:dyDescent="0.3">
      <c r="A29" s="22" t="s">
        <v>2</v>
      </c>
      <c r="B29" s="28">
        <v>586</v>
      </c>
      <c r="D29" t="s">
        <v>1040</v>
      </c>
      <c r="E29">
        <v>7442753</v>
      </c>
    </row>
    <row r="30" spans="1:5" x14ac:dyDescent="0.3">
      <c r="A30" s="22" t="s">
        <v>20</v>
      </c>
      <c r="B30" s="28">
        <v>512</v>
      </c>
      <c r="D30" t="s">
        <v>2</v>
      </c>
      <c r="E30">
        <v>24030869</v>
      </c>
    </row>
    <row r="31" spans="1:5" x14ac:dyDescent="0.3">
      <c r="A31" s="22" t="s">
        <v>9</v>
      </c>
      <c r="B31" s="28">
        <v>453</v>
      </c>
      <c r="D31" t="s">
        <v>20</v>
      </c>
      <c r="E31">
        <v>19187403</v>
      </c>
    </row>
    <row r="32" spans="1:5" x14ac:dyDescent="0.3">
      <c r="A32" s="22" t="s">
        <v>1041</v>
      </c>
      <c r="B32" s="28">
        <v>437</v>
      </c>
      <c r="D32" t="s">
        <v>11</v>
      </c>
      <c r="E32">
        <v>12720199</v>
      </c>
    </row>
    <row r="33" spans="1:5" x14ac:dyDescent="0.3">
      <c r="A33" s="22" t="s">
        <v>11</v>
      </c>
      <c r="B33" s="28">
        <v>348</v>
      </c>
      <c r="D33" t="s">
        <v>9</v>
      </c>
      <c r="E33">
        <v>20314041</v>
      </c>
    </row>
    <row r="34" spans="1:5" x14ac:dyDescent="0.3">
      <c r="A34" s="22" t="s">
        <v>24</v>
      </c>
      <c r="B34" s="28">
        <v>225</v>
      </c>
      <c r="D34" t="s">
        <v>1041</v>
      </c>
      <c r="E34">
        <v>18247942</v>
      </c>
    </row>
    <row r="35" spans="1:5" x14ac:dyDescent="0.3">
      <c r="A35" s="22" t="s">
        <v>1040</v>
      </c>
      <c r="B35" s="28">
        <v>207</v>
      </c>
      <c r="D35" t="s">
        <v>24</v>
      </c>
      <c r="E35">
        <v>8674442</v>
      </c>
    </row>
    <row r="36" spans="1:5" x14ac:dyDescent="0.3">
      <c r="A36" s="19" t="s">
        <v>1035</v>
      </c>
      <c r="B36" s="28">
        <v>10013</v>
      </c>
      <c r="D36" t="s">
        <v>1035</v>
      </c>
      <c r="E36">
        <v>401654721</v>
      </c>
    </row>
  </sheetData>
  <autoFilter ref="D3:E36" xr:uid="{D7E65C92-C1E1-4084-AF6A-5A625EFCFCF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08CAA-B6E0-45D7-849F-F681CAC334B6}">
  <dimension ref="A2:M67"/>
  <sheetViews>
    <sheetView topLeftCell="A52" zoomScale="110" zoomScaleNormal="110" workbookViewId="0"/>
  </sheetViews>
  <sheetFormatPr defaultRowHeight="14.4" x14ac:dyDescent="0.3"/>
  <cols>
    <col min="1" max="1" width="12.5546875" bestFit="1" customWidth="1"/>
    <col min="2" max="2" width="17" bestFit="1" customWidth="1"/>
    <col min="3" max="3" width="15.5546875" bestFit="1" customWidth="1"/>
    <col min="4" max="4" width="12.5546875" bestFit="1" customWidth="1"/>
    <col min="5" max="5" width="17" bestFit="1" customWidth="1"/>
    <col min="6" max="6" width="7" bestFit="1" customWidth="1"/>
    <col min="7" max="7" width="12.5546875" bestFit="1" customWidth="1"/>
    <col min="8" max="8" width="17" bestFit="1" customWidth="1"/>
    <col min="9" max="9" width="9.33203125" customWidth="1"/>
    <col min="10" max="10" width="12.5546875" bestFit="1" customWidth="1"/>
    <col min="11" max="11" width="16.21875" bestFit="1" customWidth="1"/>
    <col min="13" max="13" width="11.21875" bestFit="1" customWidth="1"/>
  </cols>
  <sheetData>
    <row r="2" spans="1:13" x14ac:dyDescent="0.3">
      <c r="A2" s="24" t="s">
        <v>1057</v>
      </c>
      <c r="B2" s="24"/>
      <c r="D2" s="24" t="s">
        <v>1060</v>
      </c>
      <c r="E2" s="24"/>
      <c r="G2" s="24" t="s">
        <v>1039</v>
      </c>
      <c r="H2" s="24"/>
      <c r="J2" s="24" t="s">
        <v>1061</v>
      </c>
      <c r="K2" s="24"/>
    </row>
    <row r="3" spans="1:13" ht="15.6" x14ac:dyDescent="0.3">
      <c r="A3" s="7" t="s">
        <v>1034</v>
      </c>
      <c r="B3" s="6" t="s">
        <v>1036</v>
      </c>
      <c r="D3" s="7" t="s">
        <v>1034</v>
      </c>
      <c r="E3" s="6" t="s">
        <v>1058</v>
      </c>
      <c r="G3" s="7" t="s">
        <v>1034</v>
      </c>
      <c r="H3" s="6" t="s">
        <v>1036</v>
      </c>
      <c r="J3" s="7" t="s">
        <v>1034</v>
      </c>
      <c r="K3" s="6" t="s">
        <v>1036</v>
      </c>
      <c r="M3" s="16" t="s">
        <v>1027</v>
      </c>
    </row>
    <row r="4" spans="1:13" x14ac:dyDescent="0.3">
      <c r="A4" s="8" t="s">
        <v>1045</v>
      </c>
      <c r="B4" s="9">
        <v>38391680</v>
      </c>
      <c r="D4" s="8" t="s">
        <v>1045</v>
      </c>
      <c r="E4" s="9">
        <v>1015</v>
      </c>
      <c r="G4" s="8" t="s">
        <v>1040</v>
      </c>
      <c r="H4" s="9">
        <v>31697559</v>
      </c>
      <c r="J4" s="8" t="s">
        <v>21</v>
      </c>
      <c r="K4" s="9">
        <v>15713006</v>
      </c>
      <c r="M4" s="15">
        <f>VLOOKUP(M3,J4:K19,2,0)</f>
        <v>35274772</v>
      </c>
    </row>
    <row r="5" spans="1:13" x14ac:dyDescent="0.3">
      <c r="A5" s="8" t="s">
        <v>1046</v>
      </c>
      <c r="B5" s="9">
        <v>34850485</v>
      </c>
      <c r="D5" s="8" t="s">
        <v>1046</v>
      </c>
      <c r="E5" s="9">
        <v>888</v>
      </c>
      <c r="G5" s="8" t="s">
        <v>1041</v>
      </c>
      <c r="H5" s="9">
        <v>52476195</v>
      </c>
      <c r="J5" s="8" t="s">
        <v>1032</v>
      </c>
      <c r="K5" s="9">
        <v>28104552</v>
      </c>
      <c r="M5" s="1">
        <f>VLOOKUP(M3,G30:H45,2,0)</f>
        <v>898</v>
      </c>
    </row>
    <row r="6" spans="1:13" x14ac:dyDescent="0.3">
      <c r="A6" s="8" t="s">
        <v>1047</v>
      </c>
      <c r="B6" s="9">
        <v>43556853</v>
      </c>
      <c r="D6" s="8" t="s">
        <v>1047</v>
      </c>
      <c r="E6" s="9">
        <v>1029</v>
      </c>
      <c r="G6" s="8" t="s">
        <v>11</v>
      </c>
      <c r="H6" s="9">
        <v>54334688</v>
      </c>
      <c r="J6" s="8" t="s">
        <v>1022</v>
      </c>
      <c r="K6" s="9">
        <v>24939162</v>
      </c>
    </row>
    <row r="7" spans="1:13" x14ac:dyDescent="0.3">
      <c r="A7" s="8" t="s">
        <v>1048</v>
      </c>
      <c r="B7" s="9">
        <v>32203746</v>
      </c>
      <c r="D7" s="8" t="s">
        <v>1048</v>
      </c>
      <c r="E7" s="9">
        <v>814</v>
      </c>
      <c r="G7" s="8" t="s">
        <v>24</v>
      </c>
      <c r="H7" s="9">
        <v>56675607</v>
      </c>
      <c r="J7" s="8" t="s">
        <v>12</v>
      </c>
      <c r="K7" s="9">
        <v>13360967</v>
      </c>
    </row>
    <row r="8" spans="1:13" x14ac:dyDescent="0.3">
      <c r="A8" s="8" t="s">
        <v>1049</v>
      </c>
      <c r="B8" s="9">
        <v>33224124</v>
      </c>
      <c r="D8" s="8" t="s">
        <v>1049</v>
      </c>
      <c r="E8" s="9">
        <v>836</v>
      </c>
      <c r="G8" s="8" t="s">
        <v>9</v>
      </c>
      <c r="H8" s="9">
        <v>63117308</v>
      </c>
      <c r="J8" s="8" t="s">
        <v>1030</v>
      </c>
      <c r="K8" s="9">
        <v>33692098</v>
      </c>
    </row>
    <row r="9" spans="1:13" x14ac:dyDescent="0.3">
      <c r="A9" s="8" t="s">
        <v>1050</v>
      </c>
      <c r="B9" s="9">
        <v>35803432</v>
      </c>
      <c r="D9" s="8" t="s">
        <v>1050</v>
      </c>
      <c r="E9" s="9">
        <v>926</v>
      </c>
      <c r="G9" s="8" t="s">
        <v>20</v>
      </c>
      <c r="H9" s="9">
        <v>71195670</v>
      </c>
      <c r="J9" s="8" t="s">
        <v>1024</v>
      </c>
      <c r="K9" s="9">
        <v>32471098</v>
      </c>
    </row>
    <row r="10" spans="1:13" x14ac:dyDescent="0.3">
      <c r="A10" s="8" t="s">
        <v>1051</v>
      </c>
      <c r="B10" s="9">
        <v>34448836</v>
      </c>
      <c r="D10" s="8" t="s">
        <v>1051</v>
      </c>
      <c r="E10" s="9">
        <v>835</v>
      </c>
      <c r="G10" s="8" t="s">
        <v>2</v>
      </c>
      <c r="H10" s="9">
        <v>72157694</v>
      </c>
      <c r="J10" s="8" t="s">
        <v>1026</v>
      </c>
      <c r="K10" s="9">
        <v>34768517</v>
      </c>
    </row>
    <row r="11" spans="1:13" x14ac:dyDescent="0.3">
      <c r="A11" s="8" t="s">
        <v>1052</v>
      </c>
      <c r="B11" s="9">
        <v>39413910</v>
      </c>
      <c r="D11" s="8" t="s">
        <v>1052</v>
      </c>
      <c r="E11" s="9">
        <v>979</v>
      </c>
      <c r="G11" s="8" t="s">
        <v>1035</v>
      </c>
      <c r="H11" s="9">
        <v>401654721</v>
      </c>
      <c r="J11" s="8" t="s">
        <v>1027</v>
      </c>
      <c r="K11" s="9">
        <v>35274772</v>
      </c>
    </row>
    <row r="12" spans="1:13" x14ac:dyDescent="0.3">
      <c r="A12" s="8" t="s">
        <v>1053</v>
      </c>
      <c r="B12" s="9">
        <v>36278633</v>
      </c>
      <c r="D12" s="8" t="s">
        <v>1053</v>
      </c>
      <c r="E12" s="9">
        <v>898</v>
      </c>
      <c r="J12" s="8" t="s">
        <v>1028</v>
      </c>
      <c r="K12" s="9">
        <v>27868159</v>
      </c>
    </row>
    <row r="13" spans="1:13" x14ac:dyDescent="0.3">
      <c r="A13" s="8" t="s">
        <v>1054</v>
      </c>
      <c r="B13" s="9">
        <v>29612594</v>
      </c>
      <c r="D13" s="8" t="s">
        <v>1054</v>
      </c>
      <c r="E13" s="9">
        <v>699</v>
      </c>
      <c r="G13" s="11" t="s">
        <v>1062</v>
      </c>
      <c r="H13" s="14">
        <f>GETPIVOTDATA("Total_Sales",$A$3)</f>
        <v>401654721</v>
      </c>
      <c r="J13" s="8" t="s">
        <v>1031</v>
      </c>
      <c r="K13" s="9">
        <v>9545921</v>
      </c>
    </row>
    <row r="14" spans="1:13" x14ac:dyDescent="0.3">
      <c r="A14" s="8" t="s">
        <v>1055</v>
      </c>
      <c r="B14" s="9">
        <v>20959519</v>
      </c>
      <c r="D14" s="8" t="s">
        <v>1055</v>
      </c>
      <c r="E14" s="9">
        <v>516</v>
      </c>
      <c r="G14" s="11" t="s">
        <v>1063</v>
      </c>
      <c r="H14" s="12">
        <f>GETPIVOTDATA("Quantities",$D$3)</f>
        <v>10013</v>
      </c>
      <c r="J14" s="8" t="s">
        <v>3</v>
      </c>
      <c r="K14" s="9">
        <v>29936946</v>
      </c>
    </row>
    <row r="15" spans="1:13" x14ac:dyDescent="0.3">
      <c r="A15" s="8" t="s">
        <v>1056</v>
      </c>
      <c r="B15" s="9">
        <v>22910909</v>
      </c>
      <c r="D15" s="8" t="s">
        <v>1056</v>
      </c>
      <c r="E15" s="9">
        <v>578</v>
      </c>
      <c r="G15" s="12" t="s">
        <v>1065</v>
      </c>
      <c r="H15" s="12">
        <f>GETPIVOTDATA("Quantities",$G$26)</f>
        <v>1000</v>
      </c>
      <c r="J15" s="8" t="s">
        <v>1029</v>
      </c>
      <c r="K15" s="9">
        <v>22849541</v>
      </c>
    </row>
    <row r="16" spans="1:13" x14ac:dyDescent="0.3">
      <c r="A16" s="8" t="s">
        <v>1035</v>
      </c>
      <c r="B16" s="9">
        <v>401654721</v>
      </c>
      <c r="D16" s="8" t="s">
        <v>1035</v>
      </c>
      <c r="E16" s="9">
        <v>10013</v>
      </c>
      <c r="J16" s="8" t="s">
        <v>1025</v>
      </c>
      <c r="K16" s="9">
        <v>30189516</v>
      </c>
    </row>
    <row r="17" spans="1:11" x14ac:dyDescent="0.3">
      <c r="J17" s="8" t="s">
        <v>1033</v>
      </c>
      <c r="K17" s="9">
        <v>11988300</v>
      </c>
    </row>
    <row r="18" spans="1:11" x14ac:dyDescent="0.3">
      <c r="J18" s="8" t="s">
        <v>15</v>
      </c>
      <c r="K18" s="9">
        <v>28233895</v>
      </c>
    </row>
    <row r="19" spans="1:11" ht="15.6" x14ac:dyDescent="0.3">
      <c r="A19" s="27" t="s">
        <v>1038</v>
      </c>
      <c r="B19" s="27"/>
      <c r="D19" s="25" t="s">
        <v>1037</v>
      </c>
      <c r="E19" s="26"/>
      <c r="G19" s="24" t="s">
        <v>1059</v>
      </c>
      <c r="H19" s="24"/>
      <c r="J19" s="8" t="s">
        <v>1023</v>
      </c>
      <c r="K19" s="9">
        <v>22718271</v>
      </c>
    </row>
    <row r="20" spans="1:11" x14ac:dyDescent="0.3">
      <c r="A20" s="7" t="s">
        <v>1034</v>
      </c>
      <c r="B20" s="6" t="s">
        <v>1036</v>
      </c>
      <c r="D20" s="7" t="s">
        <v>1034</v>
      </c>
      <c r="E20" s="6" t="s">
        <v>1036</v>
      </c>
      <c r="G20" s="7" t="s">
        <v>1034</v>
      </c>
      <c r="H20" s="6" t="s">
        <v>1058</v>
      </c>
      <c r="J20" s="8" t="s">
        <v>1035</v>
      </c>
      <c r="K20" s="9">
        <v>401654721</v>
      </c>
    </row>
    <row r="21" spans="1:11" x14ac:dyDescent="0.3">
      <c r="A21" s="8" t="s">
        <v>1</v>
      </c>
      <c r="B21" s="10">
        <v>0.2223104953869072</v>
      </c>
      <c r="D21" s="8" t="s">
        <v>1</v>
      </c>
      <c r="E21" s="9">
        <v>89292060</v>
      </c>
      <c r="G21" s="8" t="s">
        <v>1042</v>
      </c>
      <c r="H21" s="9">
        <v>3573</v>
      </c>
    </row>
    <row r="22" spans="1:11" x14ac:dyDescent="0.3">
      <c r="A22" s="8" t="s">
        <v>7</v>
      </c>
      <c r="B22" s="10">
        <v>0.2683584167307721</v>
      </c>
      <c r="D22" s="8" t="s">
        <v>7</v>
      </c>
      <c r="E22" s="9">
        <v>107787425</v>
      </c>
      <c r="G22" s="8" t="s">
        <v>1043</v>
      </c>
      <c r="H22" s="9">
        <v>3665</v>
      </c>
    </row>
    <row r="23" spans="1:11" x14ac:dyDescent="0.3">
      <c r="A23" s="8" t="s">
        <v>19</v>
      </c>
      <c r="B23" s="10">
        <v>0.23392626075967374</v>
      </c>
      <c r="D23" s="8" t="s">
        <v>19</v>
      </c>
      <c r="E23" s="9">
        <v>93957587</v>
      </c>
      <c r="G23" s="8" t="s">
        <v>1044</v>
      </c>
      <c r="H23" s="9">
        <v>2775</v>
      </c>
      <c r="J23" s="23" t="s">
        <v>1066</v>
      </c>
      <c r="K23" s="23"/>
    </row>
    <row r="24" spans="1:11" x14ac:dyDescent="0.3">
      <c r="A24" s="8" t="s">
        <v>5</v>
      </c>
      <c r="B24" s="10">
        <v>0.27540482712264697</v>
      </c>
      <c r="D24" s="8" t="s">
        <v>5</v>
      </c>
      <c r="E24" s="9">
        <v>110617649</v>
      </c>
      <c r="G24" s="8" t="s">
        <v>1035</v>
      </c>
      <c r="H24" s="9">
        <v>10013</v>
      </c>
      <c r="J24" s="7" t="s">
        <v>1034</v>
      </c>
      <c r="K24" s="6" t="s">
        <v>1058</v>
      </c>
    </row>
    <row r="25" spans="1:11" x14ac:dyDescent="0.3">
      <c r="A25" s="8" t="s">
        <v>1035</v>
      </c>
      <c r="B25" s="10">
        <v>1</v>
      </c>
      <c r="D25" s="8" t="s">
        <v>1035</v>
      </c>
      <c r="E25" s="9">
        <v>401654721</v>
      </c>
      <c r="J25" s="8" t="s">
        <v>1024</v>
      </c>
      <c r="K25" s="9">
        <v>808</v>
      </c>
    </row>
    <row r="26" spans="1:11" x14ac:dyDescent="0.3">
      <c r="G26" s="6" t="s">
        <v>1064</v>
      </c>
      <c r="J26" s="8" t="s">
        <v>1026</v>
      </c>
      <c r="K26" s="9">
        <v>861</v>
      </c>
    </row>
    <row r="27" spans="1:11" x14ac:dyDescent="0.3">
      <c r="G27" s="13">
        <v>1000</v>
      </c>
      <c r="J27" s="8" t="s">
        <v>1027</v>
      </c>
      <c r="K27" s="9">
        <v>898</v>
      </c>
    </row>
    <row r="28" spans="1:11" x14ac:dyDescent="0.3">
      <c r="A28" s="7" t="s">
        <v>1034</v>
      </c>
      <c r="B28" s="6" t="s">
        <v>1036</v>
      </c>
      <c r="D28" s="11" t="s">
        <v>1</v>
      </c>
      <c r="E28" s="20">
        <v>0.2223104953869072</v>
      </c>
      <c r="J28" s="8" t="s">
        <v>1035</v>
      </c>
      <c r="K28" s="9">
        <v>2567</v>
      </c>
    </row>
    <row r="29" spans="1:11" x14ac:dyDescent="0.3">
      <c r="A29" s="8" t="s">
        <v>1042</v>
      </c>
      <c r="B29" s="10">
        <v>0.35408436790165354</v>
      </c>
      <c r="D29" s="11" t="s">
        <v>7</v>
      </c>
      <c r="E29" s="20">
        <v>0.2683584167307721</v>
      </c>
      <c r="G29" s="7" t="s">
        <v>1034</v>
      </c>
      <c r="H29" s="6" t="s">
        <v>1058</v>
      </c>
    </row>
    <row r="30" spans="1:11" x14ac:dyDescent="0.3">
      <c r="A30" s="8" t="s">
        <v>1043</v>
      </c>
      <c r="B30" s="10">
        <v>0.36247325224393417</v>
      </c>
      <c r="D30" s="11" t="s">
        <v>19</v>
      </c>
      <c r="E30" s="20">
        <v>0.23392626075967374</v>
      </c>
      <c r="G30" s="8" t="s">
        <v>21</v>
      </c>
      <c r="H30" s="9">
        <v>440</v>
      </c>
    </row>
    <row r="31" spans="1:11" x14ac:dyDescent="0.3">
      <c r="A31" s="8" t="s">
        <v>1044</v>
      </c>
      <c r="B31" s="10">
        <v>0.28344237985441234</v>
      </c>
      <c r="D31" s="11" t="s">
        <v>5</v>
      </c>
      <c r="E31" s="20">
        <v>0.27540482712264697</v>
      </c>
      <c r="G31" s="8" t="s">
        <v>1032</v>
      </c>
      <c r="H31" s="9">
        <v>728</v>
      </c>
      <c r="J31" s="23" t="s">
        <v>1067</v>
      </c>
      <c r="K31" s="23"/>
    </row>
    <row r="32" spans="1:11" x14ac:dyDescent="0.3">
      <c r="A32" s="8" t="s">
        <v>1035</v>
      </c>
      <c r="B32" s="10">
        <v>1</v>
      </c>
      <c r="G32" s="8" t="s">
        <v>1022</v>
      </c>
      <c r="H32" s="9">
        <v>632</v>
      </c>
      <c r="J32" s="7" t="s">
        <v>1034</v>
      </c>
      <c r="K32" s="6" t="s">
        <v>1058</v>
      </c>
    </row>
    <row r="33" spans="1:11" x14ac:dyDescent="0.3">
      <c r="G33" s="8" t="s">
        <v>12</v>
      </c>
      <c r="H33" s="9">
        <v>374</v>
      </c>
      <c r="J33" s="8" t="s">
        <v>1031</v>
      </c>
      <c r="K33" s="9">
        <v>209</v>
      </c>
    </row>
    <row r="34" spans="1:11" x14ac:dyDescent="0.3">
      <c r="G34" s="8" t="s">
        <v>1030</v>
      </c>
      <c r="H34" s="9">
        <v>796</v>
      </c>
      <c r="J34" s="8" t="s">
        <v>1033</v>
      </c>
      <c r="K34" s="9">
        <v>263</v>
      </c>
    </row>
    <row r="35" spans="1:11" x14ac:dyDescent="0.3">
      <c r="A35" s="7" t="s">
        <v>1034</v>
      </c>
      <c r="B35" s="6" t="s">
        <v>1036</v>
      </c>
      <c r="G35" s="8" t="s">
        <v>1024</v>
      </c>
      <c r="H35" s="9">
        <v>808</v>
      </c>
      <c r="J35" s="8" t="s">
        <v>12</v>
      </c>
      <c r="K35" s="9">
        <v>374</v>
      </c>
    </row>
    <row r="36" spans="1:11" x14ac:dyDescent="0.3">
      <c r="A36" s="8" t="s">
        <v>1040</v>
      </c>
      <c r="B36" s="10">
        <v>7.8917431671368304E-2</v>
      </c>
      <c r="G36" s="8" t="s">
        <v>1026</v>
      </c>
      <c r="H36" s="9">
        <v>861</v>
      </c>
      <c r="J36" s="8" t="s">
        <v>1035</v>
      </c>
      <c r="K36" s="9">
        <v>846</v>
      </c>
    </row>
    <row r="37" spans="1:11" x14ac:dyDescent="0.3">
      <c r="A37" s="8" t="s">
        <v>1041</v>
      </c>
      <c r="B37" s="10">
        <v>0.13065001419465452</v>
      </c>
      <c r="G37" s="8" t="s">
        <v>1027</v>
      </c>
      <c r="H37" s="9">
        <v>898</v>
      </c>
    </row>
    <row r="38" spans="1:11" x14ac:dyDescent="0.3">
      <c r="A38" s="8" t="s">
        <v>11</v>
      </c>
      <c r="B38" s="10">
        <v>0.1352771053324679</v>
      </c>
      <c r="G38" s="8" t="s">
        <v>1028</v>
      </c>
      <c r="H38" s="9">
        <v>645</v>
      </c>
    </row>
    <row r="39" spans="1:11" x14ac:dyDescent="0.3">
      <c r="A39" s="8" t="s">
        <v>24</v>
      </c>
      <c r="B39" s="10">
        <v>0.14110529277209716</v>
      </c>
      <c r="G39" s="8" t="s">
        <v>1031</v>
      </c>
      <c r="H39" s="9">
        <v>209</v>
      </c>
    </row>
    <row r="40" spans="1:11" x14ac:dyDescent="0.3">
      <c r="A40" s="8" t="s">
        <v>9</v>
      </c>
      <c r="B40" s="10">
        <v>0.15714319961895828</v>
      </c>
      <c r="G40" s="8" t="s">
        <v>3</v>
      </c>
      <c r="H40" s="9">
        <v>796</v>
      </c>
    </row>
    <row r="41" spans="1:11" x14ac:dyDescent="0.3">
      <c r="A41" s="8" t="s">
        <v>20</v>
      </c>
      <c r="B41" s="10">
        <v>0.17725590234005989</v>
      </c>
      <c r="G41" s="8" t="s">
        <v>1029</v>
      </c>
      <c r="H41" s="9">
        <v>549</v>
      </c>
    </row>
    <row r="42" spans="1:11" x14ac:dyDescent="0.3">
      <c r="A42" s="8" t="s">
        <v>2</v>
      </c>
      <c r="B42" s="10">
        <v>0.17965105407039397</v>
      </c>
      <c r="G42" s="8" t="s">
        <v>1025</v>
      </c>
      <c r="H42" s="9">
        <v>746</v>
      </c>
    </row>
    <row r="43" spans="1:11" x14ac:dyDescent="0.3">
      <c r="A43" s="8" t="s">
        <v>1035</v>
      </c>
      <c r="B43" s="10">
        <v>1</v>
      </c>
      <c r="G43" s="8" t="s">
        <v>1033</v>
      </c>
      <c r="H43" s="9">
        <v>263</v>
      </c>
    </row>
    <row r="44" spans="1:11" x14ac:dyDescent="0.3">
      <c r="G44" s="8" t="s">
        <v>15</v>
      </c>
      <c r="H44" s="9">
        <v>704</v>
      </c>
    </row>
    <row r="45" spans="1:11" x14ac:dyDescent="0.3">
      <c r="G45" s="8" t="s">
        <v>1023</v>
      </c>
      <c r="H45" s="9">
        <v>564</v>
      </c>
    </row>
    <row r="46" spans="1:11" x14ac:dyDescent="0.3">
      <c r="G46" s="8" t="s">
        <v>1035</v>
      </c>
      <c r="H46" s="9">
        <v>10013</v>
      </c>
    </row>
    <row r="49" spans="2:13" x14ac:dyDescent="0.3">
      <c r="B49" s="7" t="s">
        <v>1068</v>
      </c>
      <c r="C49" s="7" t="s">
        <v>1069</v>
      </c>
      <c r="D49" s="6"/>
      <c r="E49" s="6"/>
      <c r="F49" s="6"/>
      <c r="G49" s="6"/>
    </row>
    <row r="50" spans="2:13" x14ac:dyDescent="0.3">
      <c r="B50" s="7" t="s">
        <v>1034</v>
      </c>
      <c r="C50" s="6" t="s">
        <v>1</v>
      </c>
      <c r="D50" s="6" t="s">
        <v>7</v>
      </c>
      <c r="E50" s="6" t="s">
        <v>19</v>
      </c>
      <c r="F50" s="6" t="s">
        <v>5</v>
      </c>
      <c r="G50" s="6" t="s">
        <v>1035</v>
      </c>
      <c r="J50" s="17"/>
      <c r="K50" s="17"/>
      <c r="L50" s="17"/>
      <c r="M50" s="17"/>
    </row>
    <row r="51" spans="2:13" x14ac:dyDescent="0.3">
      <c r="B51" s="8" t="s">
        <v>21</v>
      </c>
      <c r="C51" s="10">
        <v>1.2E-2</v>
      </c>
      <c r="D51" s="10">
        <v>0.01</v>
      </c>
      <c r="E51" s="10">
        <v>1.4E-2</v>
      </c>
      <c r="F51" s="10">
        <v>1.4E-2</v>
      </c>
      <c r="G51" s="10">
        <v>0.05</v>
      </c>
      <c r="I51" s="17"/>
      <c r="J51" s="18"/>
      <c r="K51" s="18"/>
      <c r="L51" s="18"/>
      <c r="M51" s="18"/>
    </row>
    <row r="52" spans="2:13" x14ac:dyDescent="0.3">
      <c r="B52" s="8" t="s">
        <v>1032</v>
      </c>
      <c r="C52" s="10">
        <v>1.4E-2</v>
      </c>
      <c r="D52" s="10">
        <v>0.02</v>
      </c>
      <c r="E52" s="10">
        <v>1.7000000000000001E-2</v>
      </c>
      <c r="F52" s="10">
        <v>2.5999999999999999E-2</v>
      </c>
      <c r="G52" s="10">
        <v>7.6999999999999999E-2</v>
      </c>
      <c r="I52" s="17"/>
      <c r="J52" s="18"/>
      <c r="K52" s="18"/>
      <c r="L52" s="18"/>
      <c r="M52" s="18"/>
    </row>
    <row r="53" spans="2:13" x14ac:dyDescent="0.3">
      <c r="B53" s="8" t="s">
        <v>1022</v>
      </c>
      <c r="C53" s="10">
        <v>1.9E-2</v>
      </c>
      <c r="D53" s="10">
        <v>1.7999999999999999E-2</v>
      </c>
      <c r="E53" s="10">
        <v>0.01</v>
      </c>
      <c r="F53" s="10">
        <v>1.7999999999999999E-2</v>
      </c>
      <c r="G53" s="10">
        <v>6.5000000000000002E-2</v>
      </c>
      <c r="I53" s="17"/>
      <c r="J53" s="17"/>
      <c r="K53" s="17"/>
      <c r="L53" s="17"/>
      <c r="M53" s="17"/>
    </row>
    <row r="54" spans="2:13" x14ac:dyDescent="0.3">
      <c r="B54" s="8" t="s">
        <v>12</v>
      </c>
      <c r="C54" s="10">
        <v>1.0999999999999999E-2</v>
      </c>
      <c r="D54" s="10">
        <v>7.0000000000000001E-3</v>
      </c>
      <c r="E54" s="10">
        <v>6.0000000000000001E-3</v>
      </c>
      <c r="F54" s="10">
        <v>1.2E-2</v>
      </c>
      <c r="G54" s="10">
        <v>3.5999999999999997E-2</v>
      </c>
      <c r="I54" s="19"/>
    </row>
    <row r="55" spans="2:13" x14ac:dyDescent="0.3">
      <c r="B55" s="8" t="s">
        <v>1030</v>
      </c>
      <c r="C55" s="10">
        <v>1.4999999999999999E-2</v>
      </c>
      <c r="D55" s="10">
        <v>2.8000000000000001E-2</v>
      </c>
      <c r="E55" s="10">
        <v>1.7999999999999999E-2</v>
      </c>
      <c r="F55" s="10">
        <v>1.7000000000000001E-2</v>
      </c>
      <c r="G55" s="10">
        <v>7.8E-2</v>
      </c>
      <c r="I55" s="19"/>
    </row>
    <row r="56" spans="2:13" x14ac:dyDescent="0.3">
      <c r="B56" s="8" t="s">
        <v>1024</v>
      </c>
      <c r="C56" s="10">
        <v>1.7000000000000001E-2</v>
      </c>
      <c r="D56" s="10">
        <v>1.7999999999999999E-2</v>
      </c>
      <c r="E56" s="10">
        <v>1.6E-2</v>
      </c>
      <c r="F56" s="10">
        <v>2.4E-2</v>
      </c>
      <c r="G56" s="10">
        <v>7.4999999999999997E-2</v>
      </c>
      <c r="I56" s="19"/>
    </row>
    <row r="57" spans="2:13" x14ac:dyDescent="0.3">
      <c r="B57" s="8" t="s">
        <v>1026</v>
      </c>
      <c r="C57" s="10">
        <v>2.4E-2</v>
      </c>
      <c r="D57" s="10">
        <v>1.4E-2</v>
      </c>
      <c r="E57" s="10">
        <v>1.7999999999999999E-2</v>
      </c>
      <c r="F57" s="10">
        <v>2.7E-2</v>
      </c>
      <c r="G57" s="10">
        <v>8.3000000000000004E-2</v>
      </c>
      <c r="I57" s="19"/>
    </row>
    <row r="58" spans="2:13" x14ac:dyDescent="0.3">
      <c r="B58" s="8" t="s">
        <v>1027</v>
      </c>
      <c r="C58" s="10">
        <v>2.4E-2</v>
      </c>
      <c r="D58" s="10">
        <v>2.1999999999999999E-2</v>
      </c>
      <c r="E58" s="10">
        <v>2.5999999999999999E-2</v>
      </c>
      <c r="F58" s="10">
        <v>2.4E-2</v>
      </c>
      <c r="G58" s="10">
        <v>9.6000000000000002E-2</v>
      </c>
    </row>
    <row r="59" spans="2:13" x14ac:dyDescent="0.3">
      <c r="B59" s="8" t="s">
        <v>1028</v>
      </c>
      <c r="C59" s="10">
        <v>1.0999999999999999E-2</v>
      </c>
      <c r="D59" s="10">
        <v>1.7000000000000001E-2</v>
      </c>
      <c r="E59" s="10">
        <v>1.6E-2</v>
      </c>
      <c r="F59" s="10">
        <v>1.9E-2</v>
      </c>
      <c r="G59" s="10">
        <v>6.3E-2</v>
      </c>
    </row>
    <row r="60" spans="2:13" x14ac:dyDescent="0.3">
      <c r="B60" s="8" t="s">
        <v>1031</v>
      </c>
      <c r="C60" s="10">
        <v>4.0000000000000001E-3</v>
      </c>
      <c r="D60" s="10">
        <v>7.0000000000000001E-3</v>
      </c>
      <c r="E60" s="10">
        <v>3.0000000000000001E-3</v>
      </c>
      <c r="F60" s="10">
        <v>7.0000000000000001E-3</v>
      </c>
      <c r="G60" s="10">
        <v>2.1000000000000001E-2</v>
      </c>
    </row>
    <row r="61" spans="2:13" x14ac:dyDescent="0.3">
      <c r="B61" s="8" t="s">
        <v>3</v>
      </c>
      <c r="C61" s="10">
        <v>1.4999999999999999E-2</v>
      </c>
      <c r="D61" s="10">
        <v>2.1999999999999999E-2</v>
      </c>
      <c r="E61" s="10">
        <v>2.1000000000000001E-2</v>
      </c>
      <c r="F61" s="10">
        <v>2.4E-2</v>
      </c>
      <c r="G61" s="10">
        <v>8.2000000000000003E-2</v>
      </c>
    </row>
    <row r="62" spans="2:13" x14ac:dyDescent="0.3">
      <c r="B62" s="8" t="s">
        <v>1029</v>
      </c>
      <c r="C62" s="10">
        <v>1.0999999999999999E-2</v>
      </c>
      <c r="D62" s="10">
        <v>1.6E-2</v>
      </c>
      <c r="E62" s="10">
        <v>1.4E-2</v>
      </c>
      <c r="F62" s="10">
        <v>1.2E-2</v>
      </c>
      <c r="G62" s="10">
        <v>5.2999999999999999E-2</v>
      </c>
    </row>
    <row r="63" spans="2:13" x14ac:dyDescent="0.3">
      <c r="B63" s="8" t="s">
        <v>1025</v>
      </c>
      <c r="C63" s="10">
        <v>1.0999999999999999E-2</v>
      </c>
      <c r="D63" s="10">
        <v>2.5000000000000001E-2</v>
      </c>
      <c r="E63" s="10">
        <v>1.0999999999999999E-2</v>
      </c>
      <c r="F63" s="10">
        <v>2.1000000000000001E-2</v>
      </c>
      <c r="G63" s="10">
        <v>6.8000000000000005E-2</v>
      </c>
    </row>
    <row r="64" spans="2:13" x14ac:dyDescent="0.3">
      <c r="B64" s="8" t="s">
        <v>1033</v>
      </c>
      <c r="C64" s="10">
        <v>6.0000000000000001E-3</v>
      </c>
      <c r="D64" s="10">
        <v>8.0000000000000002E-3</v>
      </c>
      <c r="E64" s="10">
        <v>8.0000000000000002E-3</v>
      </c>
      <c r="F64" s="10">
        <v>5.0000000000000001E-3</v>
      </c>
      <c r="G64" s="10">
        <v>2.7E-2</v>
      </c>
    </row>
    <row r="65" spans="2:7" x14ac:dyDescent="0.3">
      <c r="B65" s="8" t="s">
        <v>15</v>
      </c>
      <c r="C65" s="10">
        <v>2.1000000000000001E-2</v>
      </c>
      <c r="D65" s="10">
        <v>1.4999999999999999E-2</v>
      </c>
      <c r="E65" s="10">
        <v>1.7000000000000001E-2</v>
      </c>
      <c r="F65" s="10">
        <v>1.9E-2</v>
      </c>
      <c r="G65" s="10">
        <v>7.1999999999999995E-2</v>
      </c>
    </row>
    <row r="66" spans="2:7" x14ac:dyDescent="0.3">
      <c r="B66" s="8" t="s">
        <v>1023</v>
      </c>
      <c r="C66" s="10">
        <v>1.7000000000000001E-2</v>
      </c>
      <c r="D66" s="10">
        <v>1.0999999999999999E-2</v>
      </c>
      <c r="E66" s="10">
        <v>1.4999999999999999E-2</v>
      </c>
      <c r="F66" s="10">
        <v>1.0999999999999999E-2</v>
      </c>
      <c r="G66" s="10">
        <v>5.3999999999999999E-2</v>
      </c>
    </row>
    <row r="67" spans="2:7" x14ac:dyDescent="0.3">
      <c r="B67" s="8" t="s">
        <v>1035</v>
      </c>
      <c r="C67" s="10">
        <v>0.23200000000000001</v>
      </c>
      <c r="D67" s="10">
        <v>0.25800000000000001</v>
      </c>
      <c r="E67" s="10">
        <v>0.23</v>
      </c>
      <c r="F67" s="10">
        <v>0.28000000000000003</v>
      </c>
      <c r="G67" s="10">
        <v>1</v>
      </c>
    </row>
  </sheetData>
  <mergeCells count="9">
    <mergeCell ref="J23:K23"/>
    <mergeCell ref="J31:K31"/>
    <mergeCell ref="J2:K2"/>
    <mergeCell ref="D19:E19"/>
    <mergeCell ref="A19:B19"/>
    <mergeCell ref="G2:H2"/>
    <mergeCell ref="A2:B2"/>
    <mergeCell ref="G19:H19"/>
    <mergeCell ref="D2:E2"/>
  </mergeCells>
  <conditionalFormatting pivot="1" sqref="C51:C66">
    <cfRule type="top10" dxfId="133" priority="4" rank="1"/>
  </conditionalFormatting>
  <conditionalFormatting pivot="1" sqref="D51:D66">
    <cfRule type="top10" dxfId="132" priority="3" rank="1"/>
  </conditionalFormatting>
  <conditionalFormatting pivot="1" sqref="E51:E66">
    <cfRule type="top10" dxfId="131" priority="2" rank="1"/>
  </conditionalFormatting>
  <dataValidations count="1">
    <dataValidation type="list" allowBlank="1" showInputMessage="1" showErrorMessage="1" sqref="M3" xr:uid="{D3C8B8F5-A877-41CC-A9CD-2D233B1F0E76}">
      <formula1>$J$4:$J$19</formula1>
    </dataValidation>
  </dataValidations>
  <pageMargins left="0.7" right="0.7" top="0.75" bottom="0.75" header="0.3" footer="0.3"/>
  <pageSetup orientation="portrait" r:id="rId1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C791F-B4A3-4A36-B41D-8980F6E90AB9}">
  <dimension ref="B1"/>
  <sheetViews>
    <sheetView showGridLines="0" zoomScale="90" zoomScaleNormal="90" workbookViewId="0"/>
  </sheetViews>
  <sheetFormatPr defaultRowHeight="14.4" x14ac:dyDescent="0.3"/>
  <sheetData>
    <row r="1" spans="2:2" x14ac:dyDescent="0.3">
      <c r="B1" t="s">
        <v>1070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4B236-D657-4655-9F79-7BC3AFA5E024}">
  <dimension ref="A1"/>
  <sheetViews>
    <sheetView showGridLines="0" zoomScale="90" zoomScaleNormal="9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7DF3E-5BBC-4AF1-8CE5-CE54DBE1FFE2}">
  <dimension ref="A1"/>
  <sheetViews>
    <sheetView showGridLines="0" zoomScale="90" zoomScaleNormal="90" workbookViewId="0"/>
  </sheetViews>
  <sheetFormatPr defaultRowHeight="14.4" x14ac:dyDescent="0.3"/>
  <sheetData>
    <row r="1" spans="1:1" x14ac:dyDescent="0.3">
      <c r="A1" t="s">
        <v>1070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65B36-BDEB-4614-860C-149001F50D7B}">
  <dimension ref="A1"/>
  <sheetViews>
    <sheetView showGridLines="0" zoomScale="90" zoomScaleNormal="90" workbookViewId="0"/>
  </sheetViews>
  <sheetFormatPr defaultRowHeight="14.4" x14ac:dyDescent="0.3"/>
  <sheetData>
    <row r="1" spans="1:1" x14ac:dyDescent="0.3">
      <c r="A1" t="s">
        <v>1071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Sheet1</vt:lpstr>
      <vt:lpstr>Pivot Table</vt:lpstr>
      <vt:lpstr>Products</vt:lpstr>
      <vt:lpstr>Salesmans</vt:lpstr>
      <vt:lpstr>Region</vt:lpstr>
      <vt:lpstr> 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swapnil umredkar</dc:creator>
  <cp:lastModifiedBy>swapnil umredkar</cp:lastModifiedBy>
  <dcterms:created xsi:type="dcterms:W3CDTF">2026-01-21T16:13:42Z</dcterms:created>
  <dcterms:modified xsi:type="dcterms:W3CDTF">2026-03-14T18:38:20Z</dcterms:modified>
</cp:coreProperties>
</file>